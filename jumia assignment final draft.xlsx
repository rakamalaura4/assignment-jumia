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848e203873b063e/Desktop/"/>
    </mc:Choice>
  </mc:AlternateContent>
  <xr:revisionPtr revIDLastSave="26" documentId="8_{8F0AAB58-AE95-45AB-A0A3-1491B1EC2652}" xr6:coauthVersionLast="47" xr6:coauthVersionMax="47" xr10:uidLastSave="{C0B555B2-3F73-4BBD-A446-6C9B5AB7814A}"/>
  <bookViews>
    <workbookView xWindow="-110" yWindow="-110" windowWidth="19420" windowHeight="11500" tabRatio="500" firstSheet="3" activeTab="3" xr2:uid="{00000000-000D-0000-FFFF-FFFF00000000}"/>
  </bookViews>
  <sheets>
    <sheet name="Original Dataset" sheetId="16" r:id="rId1"/>
    <sheet name="Project Writeup" sheetId="17" r:id="rId2"/>
    <sheet name="PivotSource" sheetId="7" r:id="rId3"/>
    <sheet name="Cleaned Data" sheetId="3" r:id="rId4"/>
    <sheet name="Dashboard" sheetId="1" r:id="rId5"/>
    <sheet name="PivotTables" sheetId="2" r:id="rId6"/>
    <sheet name="Analysis" sheetId="4" r:id="rId7"/>
    <sheet name="Pivot Data" sheetId="5" r:id="rId8"/>
    <sheet name="Discount Pivot" sheetId="11" r:id="rId9"/>
    <sheet name="Rating Pivot" sheetId="13" r:id="rId10"/>
    <sheet name="Range Pivot" sheetId="15" r:id="rId11"/>
  </sheets>
  <definedNames>
    <definedName name="Slicer_Discount_Category">#N/A</definedName>
    <definedName name="Slicer_Discount_Range">#N/A</definedName>
    <definedName name="Slicer_Rating_Category">#N/A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5" l="1"/>
  <c r="D19" i="5"/>
  <c r="D18" i="5"/>
  <c r="D17" i="5"/>
  <c r="D16" i="5"/>
  <c r="C20" i="5"/>
  <c r="C19" i="5"/>
  <c r="C18" i="5"/>
  <c r="C17" i="5"/>
  <c r="C16" i="5"/>
  <c r="E12" i="5"/>
  <c r="E11" i="5"/>
  <c r="E10" i="5"/>
  <c r="E9" i="5"/>
  <c r="D12" i="5"/>
  <c r="D11" i="5"/>
  <c r="D10" i="5"/>
  <c r="D9" i="5"/>
  <c r="C12" i="5"/>
  <c r="C11" i="5"/>
  <c r="C10" i="5"/>
  <c r="C9" i="5"/>
  <c r="E5" i="5"/>
  <c r="E4" i="5"/>
  <c r="E3" i="5"/>
  <c r="D5" i="5"/>
  <c r="D4" i="5"/>
  <c r="D3" i="5"/>
  <c r="C5" i="5"/>
  <c r="C4" i="5"/>
  <c r="C3" i="5"/>
  <c r="L7" i="2"/>
  <c r="L6" i="2"/>
  <c r="L5" i="2"/>
  <c r="K8" i="2"/>
  <c r="K7" i="2"/>
  <c r="K6" i="2"/>
  <c r="K5" i="2"/>
  <c r="I18" i="2"/>
  <c r="I17" i="2"/>
  <c r="I16" i="2"/>
  <c r="I15" i="2"/>
  <c r="I14" i="2"/>
  <c r="I13" i="2"/>
  <c r="H18" i="2"/>
  <c r="H17" i="2"/>
  <c r="H16" i="2"/>
  <c r="H15" i="2"/>
  <c r="H14" i="2"/>
  <c r="H13" i="2"/>
  <c r="G18" i="2"/>
  <c r="G17" i="2"/>
  <c r="G16" i="2"/>
  <c r="G15" i="2"/>
  <c r="G14" i="2"/>
  <c r="G13" i="2"/>
  <c r="F18" i="2"/>
  <c r="F17" i="2"/>
  <c r="F16" i="2"/>
  <c r="F15" i="2"/>
  <c r="F14" i="2"/>
  <c r="F13" i="2"/>
  <c r="M9" i="2"/>
  <c r="L9" i="2"/>
  <c r="K9" i="2"/>
  <c r="M7" i="2"/>
  <c r="M6" i="2"/>
  <c r="M5" i="2"/>
  <c r="F8" i="2"/>
  <c r="F7" i="2"/>
  <c r="F6" i="2"/>
  <c r="F5" i="2"/>
  <c r="E8" i="2"/>
  <c r="E7" i="2"/>
  <c r="E6" i="2"/>
  <c r="E5" i="2"/>
  <c r="D8" i="2"/>
  <c r="D7" i="2"/>
  <c r="D6" i="2"/>
  <c r="D5" i="2"/>
  <c r="L12" i="1"/>
  <c r="C32" i="4"/>
  <c r="C31" i="4"/>
  <c r="C30" i="4"/>
  <c r="C29" i="4"/>
  <c r="C28" i="4"/>
  <c r="J23" i="1"/>
  <c r="J22" i="1"/>
  <c r="J21" i="1"/>
  <c r="J20" i="1"/>
  <c r="J19" i="1"/>
  <c r="I22" i="1"/>
  <c r="I21" i="1"/>
  <c r="I20" i="1"/>
  <c r="I19" i="1"/>
  <c r="I23" i="1"/>
  <c r="C23" i="1"/>
  <c r="C22" i="1"/>
  <c r="C21" i="1"/>
  <c r="C20" i="1"/>
  <c r="D22" i="1"/>
  <c r="D21" i="1"/>
  <c r="D20" i="1"/>
  <c r="D23" i="1"/>
  <c r="L14" i="1"/>
  <c r="L13" i="1"/>
  <c r="K14" i="1"/>
  <c r="K13" i="1"/>
  <c r="K12" i="1"/>
  <c r="J13" i="1"/>
  <c r="J12" i="1"/>
  <c r="J14" i="1"/>
  <c r="F15" i="1"/>
  <c r="F14" i="1"/>
  <c r="F13" i="1"/>
  <c r="F12" i="1"/>
  <c r="D13" i="1"/>
  <c r="D14" i="1"/>
  <c r="D15" i="1"/>
  <c r="L5" i="1"/>
  <c r="D12" i="1"/>
  <c r="E15" i="1"/>
  <c r="E14" i="1"/>
  <c r="E13" i="1"/>
  <c r="E12" i="1"/>
  <c r="B4" i="5"/>
  <c r="D66" i="4"/>
  <c r="C66" i="4"/>
  <c r="B66" i="4"/>
  <c r="D65" i="4"/>
  <c r="C65" i="4"/>
  <c r="B65" i="4"/>
  <c r="D64" i="4"/>
  <c r="C64" i="4"/>
  <c r="B64" i="4"/>
  <c r="D63" i="4"/>
  <c r="C63" i="4"/>
  <c r="B63" i="4"/>
  <c r="D62" i="4"/>
  <c r="C62" i="4"/>
  <c r="B62" i="4"/>
  <c r="D61" i="4"/>
  <c r="C61" i="4"/>
  <c r="B61" i="4"/>
  <c r="D60" i="4"/>
  <c r="C60" i="4"/>
  <c r="B60" i="4"/>
  <c r="D59" i="4"/>
  <c r="C59" i="4"/>
  <c r="B59" i="4"/>
  <c r="D58" i="4"/>
  <c r="C58" i="4"/>
  <c r="B58" i="4"/>
  <c r="D57" i="4"/>
  <c r="C57" i="4"/>
  <c r="B57" i="4"/>
  <c r="C40" i="4"/>
  <c r="B40" i="4"/>
  <c r="C39" i="4"/>
  <c r="B39" i="4"/>
  <c r="C38" i="4"/>
  <c r="B38" i="4"/>
  <c r="C37" i="4"/>
  <c r="B37" i="4"/>
  <c r="C36" i="4"/>
  <c r="B36" i="4"/>
  <c r="B32" i="4"/>
  <c r="B31" i="4"/>
  <c r="B30" i="4"/>
  <c r="B29" i="4"/>
  <c r="B28" i="4"/>
  <c r="C18" i="4"/>
  <c r="C12" i="4"/>
  <c r="C11" i="4"/>
  <c r="C10" i="4"/>
  <c r="C9" i="4"/>
  <c r="C8" i="4"/>
  <c r="C7" i="4"/>
  <c r="C5" i="4"/>
  <c r="C4" i="4"/>
  <c r="C3" i="4"/>
  <c r="J112" i="3"/>
  <c r="F112" i="3"/>
  <c r="K112" i="3" s="1"/>
  <c r="E112" i="3"/>
  <c r="D112" i="3"/>
  <c r="J57" i="3"/>
  <c r="E57" i="3"/>
  <c r="F57" i="3" s="1"/>
  <c r="K57" i="3" s="1"/>
  <c r="D57" i="3"/>
  <c r="J111" i="3"/>
  <c r="E111" i="3"/>
  <c r="F111" i="3" s="1"/>
  <c r="K111" i="3" s="1"/>
  <c r="D111" i="3"/>
  <c r="J110" i="3"/>
  <c r="F110" i="3"/>
  <c r="K110" i="3" s="1"/>
  <c r="E110" i="3"/>
  <c r="D110" i="3"/>
  <c r="J109" i="3"/>
  <c r="E109" i="3"/>
  <c r="F109" i="3" s="1"/>
  <c r="K109" i="3" s="1"/>
  <c r="D109" i="3"/>
  <c r="J108" i="3"/>
  <c r="E108" i="3"/>
  <c r="F108" i="3" s="1"/>
  <c r="K108" i="3" s="1"/>
  <c r="D108" i="3"/>
  <c r="J107" i="3"/>
  <c r="E107" i="3"/>
  <c r="F107" i="3" s="1"/>
  <c r="K107" i="3" s="1"/>
  <c r="D107" i="3"/>
  <c r="J106" i="3"/>
  <c r="F106" i="3"/>
  <c r="K106" i="3" s="1"/>
  <c r="E106" i="3"/>
  <c r="D106" i="3"/>
  <c r="J105" i="3"/>
  <c r="F105" i="3"/>
  <c r="K105" i="3" s="1"/>
  <c r="E105" i="3"/>
  <c r="D105" i="3"/>
  <c r="J104" i="3"/>
  <c r="E104" i="3"/>
  <c r="F104" i="3" s="1"/>
  <c r="K104" i="3" s="1"/>
  <c r="D104" i="3"/>
  <c r="J8" i="3"/>
  <c r="E8" i="3"/>
  <c r="F8" i="3" s="1"/>
  <c r="K8" i="3" s="1"/>
  <c r="D8" i="3"/>
  <c r="J103" i="3"/>
  <c r="F103" i="3"/>
  <c r="K103" i="3" s="1"/>
  <c r="E103" i="3"/>
  <c r="D103" i="3"/>
  <c r="J102" i="3"/>
  <c r="E102" i="3"/>
  <c r="F102" i="3" s="1"/>
  <c r="K102" i="3" s="1"/>
  <c r="D102" i="3"/>
  <c r="J101" i="3"/>
  <c r="E101" i="3"/>
  <c r="F101" i="3" s="1"/>
  <c r="K101" i="3" s="1"/>
  <c r="D101" i="3"/>
  <c r="J100" i="3"/>
  <c r="E100" i="3"/>
  <c r="F100" i="3" s="1"/>
  <c r="K100" i="3" s="1"/>
  <c r="D100" i="3"/>
  <c r="J99" i="3"/>
  <c r="F99" i="3"/>
  <c r="K99" i="3" s="1"/>
  <c r="E99" i="3"/>
  <c r="D99" i="3"/>
  <c r="J98" i="3"/>
  <c r="F98" i="3"/>
  <c r="K98" i="3" s="1"/>
  <c r="E98" i="3"/>
  <c r="D98" i="3"/>
  <c r="J97" i="3"/>
  <c r="E97" i="3"/>
  <c r="F97" i="3" s="1"/>
  <c r="K97" i="3" s="1"/>
  <c r="D97" i="3"/>
  <c r="J96" i="3"/>
  <c r="E96" i="3"/>
  <c r="F96" i="3" s="1"/>
  <c r="K96" i="3" s="1"/>
  <c r="D96" i="3"/>
  <c r="J95" i="3"/>
  <c r="E95" i="3"/>
  <c r="F95" i="3" s="1"/>
  <c r="K95" i="3" s="1"/>
  <c r="D95" i="3"/>
  <c r="J94" i="3"/>
  <c r="E94" i="3"/>
  <c r="F94" i="3" s="1"/>
  <c r="K94" i="3" s="1"/>
  <c r="D94" i="3"/>
  <c r="J93" i="3"/>
  <c r="E93" i="3"/>
  <c r="F93" i="3" s="1"/>
  <c r="K93" i="3" s="1"/>
  <c r="D93" i="3"/>
  <c r="J92" i="3"/>
  <c r="E92" i="3"/>
  <c r="F92" i="3" s="1"/>
  <c r="K92" i="3" s="1"/>
  <c r="D92" i="3"/>
  <c r="J91" i="3"/>
  <c r="F91" i="3"/>
  <c r="K91" i="3" s="1"/>
  <c r="E91" i="3"/>
  <c r="D91" i="3"/>
  <c r="J90" i="3"/>
  <c r="F90" i="3"/>
  <c r="K90" i="3" s="1"/>
  <c r="E90" i="3"/>
  <c r="D90" i="3"/>
  <c r="J89" i="3"/>
  <c r="E89" i="3"/>
  <c r="F89" i="3" s="1"/>
  <c r="K89" i="3" s="1"/>
  <c r="D89" i="3"/>
  <c r="J88" i="3"/>
  <c r="E88" i="3"/>
  <c r="F88" i="3" s="1"/>
  <c r="K88" i="3" s="1"/>
  <c r="D88" i="3"/>
  <c r="J87" i="3"/>
  <c r="E87" i="3"/>
  <c r="F87" i="3" s="1"/>
  <c r="K87" i="3" s="1"/>
  <c r="D87" i="3"/>
  <c r="J86" i="3"/>
  <c r="E86" i="3"/>
  <c r="F86" i="3" s="1"/>
  <c r="K86" i="3" s="1"/>
  <c r="D86" i="3"/>
  <c r="J36" i="3"/>
  <c r="E36" i="3"/>
  <c r="F36" i="3" s="1"/>
  <c r="K36" i="3" s="1"/>
  <c r="D36" i="3"/>
  <c r="J85" i="3"/>
  <c r="F85" i="3"/>
  <c r="K85" i="3" s="1"/>
  <c r="E85" i="3"/>
  <c r="D85" i="3"/>
  <c r="J84" i="3"/>
  <c r="F84" i="3"/>
  <c r="K84" i="3" s="1"/>
  <c r="E84" i="3"/>
  <c r="D84" i="3"/>
  <c r="J7" i="3"/>
  <c r="E7" i="3"/>
  <c r="F7" i="3" s="1"/>
  <c r="K7" i="3" s="1"/>
  <c r="D7" i="3"/>
  <c r="J45" i="3"/>
  <c r="E45" i="3"/>
  <c r="F45" i="3" s="1"/>
  <c r="K45" i="3" s="1"/>
  <c r="D45" i="3"/>
  <c r="J83" i="3"/>
  <c r="E83" i="3"/>
  <c r="F83" i="3" s="1"/>
  <c r="K83" i="3" s="1"/>
  <c r="D83" i="3"/>
  <c r="J82" i="3"/>
  <c r="E82" i="3"/>
  <c r="F82" i="3" s="1"/>
  <c r="K82" i="3" s="1"/>
  <c r="D82" i="3"/>
  <c r="J81" i="3"/>
  <c r="E81" i="3"/>
  <c r="F81" i="3" s="1"/>
  <c r="K81" i="3" s="1"/>
  <c r="D81" i="3"/>
  <c r="J80" i="3"/>
  <c r="E80" i="3"/>
  <c r="F80" i="3" s="1"/>
  <c r="K80" i="3" s="1"/>
  <c r="D80" i="3"/>
  <c r="J56" i="3"/>
  <c r="F56" i="3"/>
  <c r="K56" i="3" s="1"/>
  <c r="E56" i="3"/>
  <c r="D56" i="3"/>
  <c r="J54" i="3"/>
  <c r="E54" i="3"/>
  <c r="F54" i="3" s="1"/>
  <c r="K54" i="3" s="1"/>
  <c r="D54" i="3"/>
  <c r="J44" i="3"/>
  <c r="E44" i="3"/>
  <c r="F44" i="3" s="1"/>
  <c r="K44" i="3" s="1"/>
  <c r="D44" i="3"/>
  <c r="J52" i="3"/>
  <c r="E52" i="3"/>
  <c r="F52" i="3" s="1"/>
  <c r="K52" i="3" s="1"/>
  <c r="D52" i="3"/>
  <c r="J43" i="3"/>
  <c r="E43" i="3"/>
  <c r="F43" i="3" s="1"/>
  <c r="K43" i="3" s="1"/>
  <c r="D43" i="3"/>
  <c r="J49" i="3"/>
  <c r="F49" i="3"/>
  <c r="K49" i="3" s="1"/>
  <c r="E49" i="3"/>
  <c r="D49" i="3"/>
  <c r="J42" i="3"/>
  <c r="E42" i="3"/>
  <c r="F42" i="3" s="1"/>
  <c r="K42" i="3" s="1"/>
  <c r="D42" i="3"/>
  <c r="J51" i="3"/>
  <c r="E51" i="3"/>
  <c r="F51" i="3" s="1"/>
  <c r="K51" i="3" s="1"/>
  <c r="D51" i="3"/>
  <c r="J53" i="3"/>
  <c r="F53" i="3"/>
  <c r="K53" i="3" s="1"/>
  <c r="E53" i="3"/>
  <c r="D53" i="3"/>
  <c r="J46" i="3"/>
  <c r="E46" i="3"/>
  <c r="F46" i="3" s="1"/>
  <c r="K46" i="3" s="1"/>
  <c r="D46" i="3"/>
  <c r="J48" i="3"/>
  <c r="E48" i="3"/>
  <c r="F48" i="3" s="1"/>
  <c r="K48" i="3" s="1"/>
  <c r="D48" i="3"/>
  <c r="J47" i="3"/>
  <c r="E47" i="3"/>
  <c r="F47" i="3" s="1"/>
  <c r="K47" i="3" s="1"/>
  <c r="D47" i="3"/>
  <c r="J55" i="3"/>
  <c r="E55" i="3"/>
  <c r="F55" i="3" s="1"/>
  <c r="K55" i="3" s="1"/>
  <c r="D55" i="3"/>
  <c r="J41" i="3"/>
  <c r="F41" i="3"/>
  <c r="K41" i="3" s="1"/>
  <c r="E41" i="3"/>
  <c r="D41" i="3"/>
  <c r="J50" i="3"/>
  <c r="E50" i="3"/>
  <c r="F50" i="3" s="1"/>
  <c r="K50" i="3" s="1"/>
  <c r="D50" i="3"/>
  <c r="J79" i="3"/>
  <c r="E79" i="3"/>
  <c r="F79" i="3" s="1"/>
  <c r="K79" i="3" s="1"/>
  <c r="D79" i="3"/>
  <c r="J78" i="3"/>
  <c r="F78" i="3"/>
  <c r="K78" i="3" s="1"/>
  <c r="E78" i="3"/>
  <c r="D78" i="3"/>
  <c r="J77" i="3"/>
  <c r="E77" i="3"/>
  <c r="F77" i="3" s="1"/>
  <c r="K77" i="3" s="1"/>
  <c r="D77" i="3"/>
  <c r="J76" i="3"/>
  <c r="F76" i="3"/>
  <c r="K76" i="3" s="1"/>
  <c r="E76" i="3"/>
  <c r="D76" i="3"/>
  <c r="J75" i="3"/>
  <c r="E75" i="3"/>
  <c r="F75" i="3" s="1"/>
  <c r="K75" i="3" s="1"/>
  <c r="D75" i="3"/>
  <c r="J74" i="3"/>
  <c r="E74" i="3"/>
  <c r="F74" i="3" s="1"/>
  <c r="K74" i="3" s="1"/>
  <c r="D74" i="3"/>
  <c r="J73" i="3"/>
  <c r="F73" i="3"/>
  <c r="K73" i="3" s="1"/>
  <c r="E73" i="3"/>
  <c r="D73" i="3"/>
  <c r="J72" i="3"/>
  <c r="E72" i="3"/>
  <c r="F72" i="3" s="1"/>
  <c r="K72" i="3" s="1"/>
  <c r="D72" i="3"/>
  <c r="J71" i="3"/>
  <c r="E71" i="3"/>
  <c r="F71" i="3" s="1"/>
  <c r="K71" i="3" s="1"/>
  <c r="D71" i="3"/>
  <c r="J70" i="3"/>
  <c r="F70" i="3"/>
  <c r="K70" i="3" s="1"/>
  <c r="E70" i="3"/>
  <c r="D70" i="3"/>
  <c r="J69" i="3"/>
  <c r="F69" i="3"/>
  <c r="K69" i="3" s="1"/>
  <c r="E69" i="3"/>
  <c r="D69" i="3"/>
  <c r="J68" i="3"/>
  <c r="F68" i="3"/>
  <c r="K68" i="3" s="1"/>
  <c r="E68" i="3"/>
  <c r="D68" i="3"/>
  <c r="J67" i="3"/>
  <c r="E67" i="3"/>
  <c r="F67" i="3" s="1"/>
  <c r="K67" i="3" s="1"/>
  <c r="D67" i="3"/>
  <c r="J66" i="3"/>
  <c r="E66" i="3"/>
  <c r="F66" i="3" s="1"/>
  <c r="K66" i="3" s="1"/>
  <c r="D66" i="3"/>
  <c r="J65" i="3"/>
  <c r="F65" i="3"/>
  <c r="K65" i="3" s="1"/>
  <c r="E65" i="3"/>
  <c r="D65" i="3"/>
  <c r="J64" i="3"/>
  <c r="E64" i="3"/>
  <c r="F64" i="3" s="1"/>
  <c r="K64" i="3" s="1"/>
  <c r="D64" i="3"/>
  <c r="J63" i="3"/>
  <c r="E63" i="3"/>
  <c r="F63" i="3" s="1"/>
  <c r="K63" i="3" s="1"/>
  <c r="D63" i="3"/>
  <c r="J62" i="3"/>
  <c r="E62" i="3"/>
  <c r="F62" i="3" s="1"/>
  <c r="K62" i="3" s="1"/>
  <c r="D62" i="3"/>
  <c r="J61" i="3"/>
  <c r="E61" i="3"/>
  <c r="F61" i="3" s="1"/>
  <c r="K61" i="3" s="1"/>
  <c r="D61" i="3"/>
  <c r="J60" i="3"/>
  <c r="E60" i="3"/>
  <c r="F60" i="3" s="1"/>
  <c r="K60" i="3" s="1"/>
  <c r="D60" i="3"/>
  <c r="J28" i="3"/>
  <c r="E28" i="3"/>
  <c r="F28" i="3" s="1"/>
  <c r="K28" i="3" s="1"/>
  <c r="D28" i="3"/>
  <c r="J6" i="3"/>
  <c r="E6" i="3"/>
  <c r="F6" i="3" s="1"/>
  <c r="K6" i="3" s="1"/>
  <c r="D6" i="3"/>
  <c r="J5" i="3"/>
  <c r="F5" i="3"/>
  <c r="K5" i="3" s="1"/>
  <c r="E5" i="3"/>
  <c r="D5" i="3"/>
  <c r="J23" i="3"/>
  <c r="E23" i="3"/>
  <c r="F23" i="3" s="1"/>
  <c r="K23" i="3" s="1"/>
  <c r="D23" i="3"/>
  <c r="J15" i="3"/>
  <c r="E15" i="3"/>
  <c r="F15" i="3" s="1"/>
  <c r="K15" i="3" s="1"/>
  <c r="D15" i="3"/>
  <c r="J27" i="3"/>
  <c r="E27" i="3"/>
  <c r="F27" i="3" s="1"/>
  <c r="K27" i="3" s="1"/>
  <c r="D27" i="3"/>
  <c r="J14" i="3"/>
  <c r="E14" i="3"/>
  <c r="F14" i="3" s="1"/>
  <c r="K14" i="3" s="1"/>
  <c r="D14" i="3"/>
  <c r="J26" i="3"/>
  <c r="F26" i="3"/>
  <c r="K26" i="3" s="1"/>
  <c r="E26" i="3"/>
  <c r="D26" i="3"/>
  <c r="J59" i="3"/>
  <c r="E59" i="3"/>
  <c r="F59" i="3" s="1"/>
  <c r="K59" i="3" s="1"/>
  <c r="D59" i="3"/>
  <c r="J32" i="3"/>
  <c r="E32" i="3"/>
  <c r="F32" i="3" s="1"/>
  <c r="K32" i="3" s="1"/>
  <c r="D32" i="3"/>
  <c r="J39" i="3"/>
  <c r="E39" i="3"/>
  <c r="F39" i="3" s="1"/>
  <c r="K39" i="3" s="1"/>
  <c r="D39" i="3"/>
  <c r="J38" i="3"/>
  <c r="E38" i="3"/>
  <c r="F38" i="3" s="1"/>
  <c r="K38" i="3" s="1"/>
  <c r="D38" i="3"/>
  <c r="J20" i="3"/>
  <c r="E20" i="3"/>
  <c r="F20" i="3" s="1"/>
  <c r="K20" i="3" s="1"/>
  <c r="D20" i="3"/>
  <c r="J25" i="3"/>
  <c r="E25" i="3"/>
  <c r="F25" i="3" s="1"/>
  <c r="K25" i="3" s="1"/>
  <c r="D25" i="3"/>
  <c r="J24" i="3"/>
  <c r="E24" i="3"/>
  <c r="F24" i="3" s="1"/>
  <c r="K24" i="3" s="1"/>
  <c r="D24" i="3"/>
  <c r="J35" i="3"/>
  <c r="E35" i="3"/>
  <c r="F35" i="3" s="1"/>
  <c r="K35" i="3" s="1"/>
  <c r="D35" i="3"/>
  <c r="J58" i="3"/>
  <c r="E58" i="3"/>
  <c r="F58" i="3" s="1"/>
  <c r="K58" i="3" s="1"/>
  <c r="D58" i="3"/>
  <c r="J40" i="3"/>
  <c r="E40" i="3"/>
  <c r="F40" i="3" s="1"/>
  <c r="K40" i="3" s="1"/>
  <c r="D40" i="3"/>
  <c r="J19" i="3"/>
  <c r="E19" i="3"/>
  <c r="F19" i="3" s="1"/>
  <c r="K19" i="3" s="1"/>
  <c r="D19" i="3"/>
  <c r="J18" i="3"/>
  <c r="E18" i="3"/>
  <c r="F18" i="3" s="1"/>
  <c r="K18" i="3" s="1"/>
  <c r="D18" i="3"/>
  <c r="J4" i="3"/>
  <c r="E4" i="3"/>
  <c r="F4" i="3" s="1"/>
  <c r="K4" i="3" s="1"/>
  <c r="D4" i="3"/>
  <c r="J3" i="3"/>
  <c r="E3" i="3"/>
  <c r="F3" i="3" s="1"/>
  <c r="K3" i="3" s="1"/>
  <c r="D3" i="3"/>
  <c r="J2" i="3"/>
  <c r="E2" i="3"/>
  <c r="F2" i="3" s="1"/>
  <c r="K2" i="3" s="1"/>
  <c r="D2" i="3"/>
  <c r="J29" i="3"/>
  <c r="F29" i="3"/>
  <c r="K29" i="3" s="1"/>
  <c r="E29" i="3"/>
  <c r="D29" i="3"/>
  <c r="J22" i="3"/>
  <c r="E22" i="3"/>
  <c r="F22" i="3" s="1"/>
  <c r="K22" i="3" s="1"/>
  <c r="D22" i="3"/>
  <c r="J11" i="3"/>
  <c r="E11" i="3"/>
  <c r="F11" i="3" s="1"/>
  <c r="K11" i="3" s="1"/>
  <c r="D11" i="3"/>
  <c r="J13" i="3"/>
  <c r="E13" i="3"/>
  <c r="F13" i="3" s="1"/>
  <c r="K13" i="3" s="1"/>
  <c r="D13" i="3"/>
  <c r="J31" i="3"/>
  <c r="E31" i="3"/>
  <c r="F31" i="3" s="1"/>
  <c r="K31" i="3" s="1"/>
  <c r="D31" i="3"/>
  <c r="J37" i="3"/>
  <c r="E37" i="3"/>
  <c r="F37" i="3" s="1"/>
  <c r="K37" i="3" s="1"/>
  <c r="D37" i="3"/>
  <c r="J10" i="3"/>
  <c r="E10" i="3"/>
  <c r="F10" i="3" s="1"/>
  <c r="K10" i="3" s="1"/>
  <c r="D10" i="3"/>
  <c r="J34" i="3"/>
  <c r="E34" i="3"/>
  <c r="F34" i="3" s="1"/>
  <c r="K34" i="3" s="1"/>
  <c r="D34" i="3"/>
  <c r="J17" i="3"/>
  <c r="E17" i="3"/>
  <c r="F17" i="3" s="1"/>
  <c r="K17" i="3" s="1"/>
  <c r="D17" i="3"/>
  <c r="J33" i="3"/>
  <c r="E33" i="3"/>
  <c r="F33" i="3" s="1"/>
  <c r="K33" i="3" s="1"/>
  <c r="D33" i="3"/>
  <c r="J9" i="3"/>
  <c r="E9" i="3"/>
  <c r="D9" i="3"/>
  <c r="J12" i="3"/>
  <c r="E12" i="3"/>
  <c r="F12" i="3" s="1"/>
  <c r="K12" i="3" s="1"/>
  <c r="D12" i="3"/>
  <c r="J16" i="3"/>
  <c r="E16" i="3"/>
  <c r="F16" i="3" s="1"/>
  <c r="K16" i="3" s="1"/>
  <c r="D16" i="3"/>
  <c r="J30" i="3"/>
  <c r="E30" i="3"/>
  <c r="D30" i="3"/>
  <c r="J21" i="3"/>
  <c r="E21" i="3"/>
  <c r="D21" i="3"/>
  <c r="N17" i="2"/>
  <c r="M17" i="2"/>
  <c r="L17" i="2"/>
  <c r="O16" i="2"/>
  <c r="N16" i="2"/>
  <c r="M16" i="2"/>
  <c r="L16" i="2"/>
  <c r="O15" i="2"/>
  <c r="N15" i="2"/>
  <c r="M15" i="2"/>
  <c r="L15" i="2"/>
  <c r="O14" i="2"/>
  <c r="N14" i="2"/>
  <c r="M14" i="2"/>
  <c r="L14" i="2"/>
  <c r="O13" i="2"/>
  <c r="N13" i="2"/>
  <c r="M13" i="2"/>
  <c r="L13" i="2"/>
  <c r="E17" i="2"/>
  <c r="E16" i="2"/>
  <c r="E15" i="2"/>
  <c r="E14" i="2"/>
  <c r="E13" i="2"/>
  <c r="J8" i="2"/>
  <c r="J7" i="2"/>
  <c r="J6" i="2"/>
  <c r="J5" i="2"/>
  <c r="J5" i="1"/>
  <c r="H5" i="1"/>
  <c r="D5" i="1"/>
  <c r="B5" i="1"/>
  <c r="C7" i="2"/>
  <c r="C6" i="2"/>
  <c r="C5" i="2"/>
  <c r="C8" i="2" l="1"/>
  <c r="O17" i="2"/>
  <c r="J9" i="2"/>
  <c r="E18" i="2"/>
  <c r="H19" i="1"/>
  <c r="H22" i="1"/>
  <c r="F21" i="3"/>
  <c r="C21" i="4"/>
  <c r="D46" i="4"/>
  <c r="B11" i="5"/>
  <c r="C13" i="1"/>
  <c r="C14" i="1"/>
  <c r="K21" i="3"/>
  <c r="C20" i="4"/>
  <c r="C46" i="4"/>
  <c r="B49" i="4"/>
  <c r="D51" i="4"/>
  <c r="B44" i="4"/>
  <c r="B9" i="5"/>
  <c r="F9" i="3"/>
  <c r="K9" i="3" s="1"/>
  <c r="F30" i="3"/>
  <c r="D44" i="4"/>
  <c r="C47" i="4"/>
  <c r="B50" i="4"/>
  <c r="D52" i="4"/>
  <c r="C6" i="4"/>
  <c r="B19" i="5"/>
  <c r="H20" i="1"/>
  <c r="C24" i="4"/>
  <c r="B45" i="4"/>
  <c r="D47" i="4"/>
  <c r="C50" i="4"/>
  <c r="B53" i="4"/>
  <c r="B17" i="5"/>
  <c r="B52" i="4"/>
  <c r="B16" i="5"/>
  <c r="F5" i="1"/>
  <c r="C44" i="4"/>
  <c r="B47" i="4"/>
  <c r="D49" i="4"/>
  <c r="C52" i="4"/>
  <c r="H23" i="1"/>
  <c r="C17" i="4"/>
  <c r="C45" i="4"/>
  <c r="B48" i="4"/>
  <c r="D50" i="4"/>
  <c r="C53" i="4"/>
  <c r="B3" i="5"/>
  <c r="B5" i="5"/>
  <c r="B10" i="5"/>
  <c r="B12" i="5"/>
  <c r="B20" i="5"/>
  <c r="C12" i="1"/>
  <c r="D45" i="4"/>
  <c r="C48" i="4"/>
  <c r="B51" i="4"/>
  <c r="D53" i="4"/>
  <c r="C49" i="4"/>
  <c r="C15" i="1"/>
  <c r="H21" i="1"/>
  <c r="C19" i="4"/>
  <c r="B46" i="4"/>
  <c r="D48" i="4"/>
  <c r="C51" i="4"/>
  <c r="B18" i="5"/>
  <c r="C16" i="4" l="1"/>
  <c r="C23" i="4"/>
  <c r="C15" i="4"/>
  <c r="C19" i="1"/>
  <c r="I13" i="1"/>
  <c r="K30" i="3"/>
  <c r="C22" i="4"/>
  <c r="C14" i="4"/>
  <c r="I14" i="1"/>
  <c r="E22" i="1"/>
  <c r="D19" i="1"/>
  <c r="I12" i="1"/>
  <c r="C13" i="4"/>
  <c r="E21" i="1"/>
  <c r="E23" i="1"/>
  <c r="E20" i="1" l="1"/>
  <c r="E19" i="1"/>
</calcChain>
</file>

<file path=xl/sharedStrings.xml><?xml version="1.0" encoding="utf-8"?>
<sst xmlns="http://schemas.openxmlformats.org/spreadsheetml/2006/main" count="1512" uniqueCount="609">
  <si>
    <t>KES</t>
  </si>
  <si>
    <t>% off</t>
  </si>
  <si>
    <t xml:space="preserve"> / 5</t>
  </si>
  <si>
    <t>products</t>
  </si>
  <si>
    <t>Category</t>
  </si>
  <si>
    <t># Products</t>
  </si>
  <si>
    <t>Avg Price (KES)</t>
  </si>
  <si>
    <t>Avg Disc %</t>
  </si>
  <si>
    <t>Avg Reviews</t>
  </si>
  <si>
    <t>Avg Rating</t>
  </si>
  <si>
    <t>Excellent</t>
  </si>
  <si>
    <t>High Discount</t>
  </si>
  <si>
    <t>Average</t>
  </si>
  <si>
    <t>Medium Discount</t>
  </si>
  <si>
    <t>Poor</t>
  </si>
  <si>
    <t>Low Discount</t>
  </si>
  <si>
    <t>N/A</t>
  </si>
  <si>
    <t>Metric</t>
  </si>
  <si>
    <t>Difference</t>
  </si>
  <si>
    <t>Avg Discount %</t>
  </si>
  <si>
    <t>Discount Range</t>
  </si>
  <si>
    <t>&lt;20%</t>
  </si>
  <si>
    <t>20-30%</t>
  </si>
  <si>
    <t>30-40%</t>
  </si>
  <si>
    <t>40-50%</t>
  </si>
  <si>
    <t>&gt;50%</t>
  </si>
  <si>
    <t>Discount Label</t>
  </si>
  <si>
    <t>Count</t>
  </si>
  <si>
    <t>Rating Category</t>
  </si>
  <si>
    <t>Grand Total</t>
  </si>
  <si>
    <t>N/A (No Reviews)</t>
  </si>
  <si>
    <t>""</t>
  </si>
  <si>
    <t>Min Disc%</t>
  </si>
  <si>
    <t>Max Disc%</t>
  </si>
  <si>
    <t>Avg Price</t>
  </si>
  <si>
    <t>Avg Disc%</t>
  </si>
  <si>
    <t>20–30%</t>
  </si>
  <si>
    <t>30–40%</t>
  </si>
  <si>
    <t>40–50%</t>
  </si>
  <si>
    <t>Rating \ Discount</t>
  </si>
  <si>
    <t>Row Total</t>
  </si>
  <si>
    <t>Col Total</t>
  </si>
  <si>
    <t>Product</t>
  </si>
  <si>
    <t>Current Price (KES)</t>
  </si>
  <si>
    <t>Old Price (KES)</t>
  </si>
  <si>
    <t>Absolute Discount (KES)</t>
  </si>
  <si>
    <t>Discount %</t>
  </si>
  <si>
    <t>Reviews</t>
  </si>
  <si>
    <t>Rating (out of 5)</t>
  </si>
  <si>
    <t>Rating Label</t>
  </si>
  <si>
    <t>Discount Category</t>
  </si>
  <si>
    <t>115  Piece Set Of Multifunctional Precision Screwdrivers</t>
  </si>
  <si>
    <t>excellent</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</si>
  <si>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</si>
  <si>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</si>
  <si>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</si>
  <si>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</si>
  <si>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</si>
  <si>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</si>
  <si>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</si>
  <si>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</si>
  <si>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</si>
  <si>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</si>
  <si>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</si>
  <si>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</si>
  <si>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</si>
  <si>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</si>
  <si>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</si>
  <si>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</si>
  <si>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</si>
  <si>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</si>
  <si>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</si>
  <si>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</si>
  <si>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</si>
  <si>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</si>
  <si>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</si>
  <si>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</si>
  <si>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</si>
  <si>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</si>
  <si>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</si>
  <si>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</si>
  <si>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</si>
  <si>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</si>
  <si>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</si>
  <si>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</si>
  <si>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</si>
  <si>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</si>
  <si>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</si>
  <si>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</si>
  <si>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</si>
  <si>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</si>
  <si>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</si>
  <si>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</si>
  <si>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</si>
  <si>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</si>
  <si>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</si>
  <si>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</si>
  <si>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</si>
  <si>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</si>
  <si>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</si>
  <si>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</si>
  <si>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</si>
  <si>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</si>
  <si>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</si>
  <si>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</si>
  <si>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</si>
  <si>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</si>
  <si>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</si>
  <si>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</si>
  <si>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</si>
  <si>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poor</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</si>
  <si>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</si>
  <si>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</si>
  <si>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</si>
  <si>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</si>
  <si>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</si>
  <si>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</si>
  <si>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</si>
  <si>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</si>
  <si>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</si>
  <si>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</si>
  <si>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</si>
  <si>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</si>
  <si>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</si>
  <si>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</si>
  <si>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</si>
  <si>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</si>
  <si>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</si>
  <si>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</si>
  <si>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</si>
  <si>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</si>
  <si>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</si>
  <si>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</si>
  <si>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</si>
  <si>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</si>
  <si>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</si>
  <si>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</si>
  <si>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</si>
  <si>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</si>
  <si>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</si>
  <si>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</si>
  <si>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</si>
  <si>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</si>
  <si>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</si>
  <si>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</si>
  <si>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</si>
  <si>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</si>
  <si>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</si>
  <si>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</si>
  <si>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</si>
  <si>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</si>
  <si>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</si>
  <si>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</si>
  <si>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</si>
  <si>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</si>
  <si>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</si>
  <si>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</si>
  <si>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</si>
  <si>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</si>
  <si>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</si>
  <si>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</si>
  <si>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DESCRIPTIVE STATISTICS — Formulas &amp; Cell References</t>
  </si>
  <si>
    <t>Function Used</t>
  </si>
  <si>
    <t>Result</t>
  </si>
  <si>
    <t>Total Products</t>
  </si>
  <si>
    <t>COUNTA</t>
  </si>
  <si>
    <t>Avg Current Price (KES)</t>
  </si>
  <si>
    <t>AVERAGE</t>
  </si>
  <si>
    <t>Avg Old Price (KES)</t>
  </si>
  <si>
    <t>Avg Rating (reviewed only)</t>
  </si>
  <si>
    <t>AVERAGEIF</t>
  </si>
  <si>
    <t>Total Reviews</t>
  </si>
  <si>
    <t>SUM</t>
  </si>
  <si>
    <t>Max Current Price (KES)</t>
  </si>
  <si>
    <t>MAX</t>
  </si>
  <si>
    <t>Min Current Price (KES)</t>
  </si>
  <si>
    <t>MIN</t>
  </si>
  <si>
    <t>Most Expensive Product</t>
  </si>
  <si>
    <t>INDEX/MATCH</t>
  </si>
  <si>
    <t>Least Expensive Product</t>
  </si>
  <si>
    <t>Avg Disc% – High Discount</t>
  </si>
  <si>
    <t>Avg Rating – High Discount</t>
  </si>
  <si>
    <t>Avg Rating – Low Discount</t>
  </si>
  <si>
    <t>Avg Reviews – High Discount</t>
  </si>
  <si>
    <t>Avg Reviews – Low Discount</t>
  </si>
  <si>
    <t>Products with No Reviews</t>
  </si>
  <si>
    <t>COUNTBLANK</t>
  </si>
  <si>
    <t># Excellent Rated</t>
  </si>
  <si>
    <t>COUNTIF</t>
  </si>
  <si>
    <t># Average Rated</t>
  </si>
  <si>
    <t># Poor Rated</t>
  </si>
  <si>
    <t># High Discount Products</t>
  </si>
  <si>
    <t># Medium Discount Products</t>
  </si>
  <si>
    <t># Low Discount Products</t>
  </si>
  <si>
    <t>TOP 5 HIGHEST RATED PRODUCTS</t>
  </si>
  <si>
    <t>Rank</t>
  </si>
  <si>
    <t>Rating</t>
  </si>
  <si>
    <t>TOP 5 LOWEST RATED PRODUCTS</t>
  </si>
  <si>
    <t>TOP 10 PRODUCTS BY DISCOUNT %</t>
  </si>
  <si>
    <t>TOP 10 PRODUCTS BY NUMBER OF REVIEWS</t>
  </si>
  <si>
    <t>BY DISCOUNT CATEGORY</t>
  </si>
  <si>
    <t>BY RATING CATEGORY</t>
  </si>
  <si>
    <t>DISCOUNT RANGE vs AVG REVIEWS (Trend Analysis)</t>
  </si>
  <si>
    <t>Row Labels</t>
  </si>
  <si>
    <t xml:space="preserve"> JUMIA PRODUCTS — INTERACTIVE ANALYTICS DASHBOARD</t>
  </si>
  <si>
    <t>TOTAL PRODUCTS</t>
  </si>
  <si>
    <t xml:space="preserve"> AVG PRICE</t>
  </si>
  <si>
    <t xml:space="preserve"> AVG DISCOUNT</t>
  </si>
  <si>
    <t xml:space="preserve"> AVG RATING</t>
  </si>
  <si>
    <t xml:space="preserve"> TOTAL REVIEWS</t>
  </si>
  <si>
    <t>HIGH DISCOUNT</t>
  </si>
  <si>
    <t>PRODUCTS BY RATING CATEGORY</t>
  </si>
  <si>
    <t>PRODUCTS BY DISCOUNT CATEGORY</t>
  </si>
  <si>
    <t>HIGH vs LOW DISCOUNT — PERFORMANCE COMPARISON</t>
  </si>
  <si>
    <t xml:space="preserve"> TREND ANALYSIS — DISCOUNT RANGE vs REVIEWS &amp; RATING</t>
  </si>
  <si>
    <t>PIVOT TABLE 1: BY DISCOUNT CATEGORY</t>
  </si>
  <si>
    <t xml:space="preserve"> PIVOT TABLE 2: BY RATING CATEGORY</t>
  </si>
  <si>
    <t>PIVOT TABLE 3: DISCOUNT RANGE vs REVIEWS &amp; RATINGS (Trend Analysis)</t>
  </si>
  <si>
    <t xml:space="preserve"> PIVOT TABLE 4: CROSS-ANALYSIS — Rating Category × Discount Label (Count of Products)</t>
  </si>
  <si>
    <t>Sum of # Products</t>
  </si>
  <si>
    <t>Sum of Avg Rating</t>
  </si>
  <si>
    <t>Sum of Avg Reviews</t>
  </si>
  <si>
    <t>Sum of Avg Price</t>
  </si>
  <si>
    <t>Sum of  Products</t>
  </si>
  <si>
    <t>Categories</t>
  </si>
  <si>
    <t xml:space="preserve">PIVOT TABLES </t>
  </si>
  <si>
    <t>Current price</t>
  </si>
  <si>
    <t>old price</t>
  </si>
  <si>
    <t>Discount</t>
  </si>
  <si>
    <t>Review</t>
  </si>
  <si>
    <t>Ratingd</t>
  </si>
  <si>
    <t>KSh 950</t>
  </si>
  <si>
    <t>KSh 1,525</t>
  </si>
  <si>
    <t>4.5 out of 5</t>
  </si>
  <si>
    <t>KSh 527</t>
  </si>
  <si>
    <t>KSh 999</t>
  </si>
  <si>
    <t>4.1 out of 5</t>
  </si>
  <si>
    <t>KSh 2,199</t>
  </si>
  <si>
    <t>KSh 2,923</t>
  </si>
  <si>
    <t>4.6 out of 5</t>
  </si>
  <si>
    <t>KSh 1,580</t>
  </si>
  <si>
    <t>KSh 2,499</t>
  </si>
  <si>
    <t>4.7 out of 5</t>
  </si>
  <si>
    <t>KSh 1,740</t>
  </si>
  <si>
    <t>KSh 2,356</t>
  </si>
  <si>
    <t>4.8 out of 5</t>
  </si>
  <si>
    <t>KSh 2,999</t>
  </si>
  <si>
    <t>KSh 3,290</t>
  </si>
  <si>
    <t>4 out of 5</t>
  </si>
  <si>
    <t>KSh 2,319</t>
  </si>
  <si>
    <t>KSh 3,032</t>
  </si>
  <si>
    <t>KSh 988</t>
  </si>
  <si>
    <t>KSh 1,274</t>
  </si>
  <si>
    <t>KSh 2,800</t>
  </si>
  <si>
    <t>KSh 1,600</t>
  </si>
  <si>
    <t>KSh 2,929</t>
  </si>
  <si>
    <t>3.8 out of 5</t>
  </si>
  <si>
    <t>KSh 799</t>
  </si>
  <si>
    <t>KSh 990</t>
  </si>
  <si>
    <t>KSh 1,500</t>
  </si>
  <si>
    <t>KSh 552</t>
  </si>
  <si>
    <t>KSh 1,035</t>
  </si>
  <si>
    <t>KSh 501</t>
  </si>
  <si>
    <t>KSh 860</t>
  </si>
  <si>
    <t>KSh 1,680</t>
  </si>
  <si>
    <t>4.2 out of 5</t>
  </si>
  <si>
    <t>KSh 332</t>
  </si>
  <si>
    <t>KSh 684</t>
  </si>
  <si>
    <t>5 out of 5</t>
  </si>
  <si>
    <t>KSh 195</t>
  </si>
  <si>
    <t>KSh 360</t>
  </si>
  <si>
    <t>KSh 2,025</t>
  </si>
  <si>
    <t>KSh 3,971</t>
  </si>
  <si>
    <t>KSh 3,699</t>
  </si>
  <si>
    <t>KSh 998</t>
  </si>
  <si>
    <t>KSh 1,966</t>
  </si>
  <si>
    <t>KSh 38</t>
  </si>
  <si>
    <t>KSh 80</t>
  </si>
  <si>
    <t>3.3 out of 5</t>
  </si>
  <si>
    <t>KSh 1,860</t>
  </si>
  <si>
    <t>KSh 3,220</t>
  </si>
  <si>
    <t>KSh 880</t>
  </si>
  <si>
    <t>KSh 1,350</t>
  </si>
  <si>
    <t>KSh 1,650</t>
  </si>
  <si>
    <t>KSh 2,150</t>
  </si>
  <si>
    <t>4.4 out of 5</t>
  </si>
  <si>
    <t>KSh 2,048</t>
  </si>
  <si>
    <t>KSh 4,500</t>
  </si>
  <si>
    <t>4.3 out of 5</t>
  </si>
  <si>
    <t>KSh 420</t>
  </si>
  <si>
    <t>KSh 647</t>
  </si>
  <si>
    <t>KSh 2,880</t>
  </si>
  <si>
    <t>KSh 3,520</t>
  </si>
  <si>
    <t>KSh 1,990</t>
  </si>
  <si>
    <t>KSh 1,758</t>
  </si>
  <si>
    <t>KSh 2,200</t>
  </si>
  <si>
    <t>KSh 4,080</t>
  </si>
  <si>
    <t>KSh 185</t>
  </si>
  <si>
    <t>KSh 382</t>
  </si>
  <si>
    <t>KSh 980</t>
  </si>
  <si>
    <t>KSh 1,490</t>
  </si>
  <si>
    <t>KSh 1,820</t>
  </si>
  <si>
    <t>KSh 3,490</t>
  </si>
  <si>
    <t>KSh 1,940</t>
  </si>
  <si>
    <t>KSh 2,650</t>
  </si>
  <si>
    <t>KSh 1,980</t>
  </si>
  <si>
    <t>KSh 2,699</t>
  </si>
  <si>
    <t>KSh 1,620</t>
  </si>
  <si>
    <t>KSh 2,690</t>
  </si>
  <si>
    <t>KSh 171</t>
  </si>
  <si>
    <t>KSh 389</t>
  </si>
  <si>
    <t>KSh 656</t>
  </si>
  <si>
    <t>1/2/3 Seater Elastic Sofa Cover,Living Room/Home Decor Chair Cover-Grey</t>
  </si>
  <si>
    <t>KSh 1,620 - KSh 1,980</t>
  </si>
  <si>
    <t>KSh 2,200 - KSh 3,200</t>
  </si>
  <si>
    <t>KSh 2,750</t>
  </si>
  <si>
    <t>KSh 4,471</t>
  </si>
  <si>
    <t>KSh 475</t>
  </si>
  <si>
    <t>KSh 931</t>
  </si>
  <si>
    <t>KSh 238</t>
  </si>
  <si>
    <t>KSh 476</t>
  </si>
  <si>
    <t>KSh 610</t>
  </si>
  <si>
    <t>KSh 1,060</t>
  </si>
  <si>
    <t>KSh 2,132</t>
  </si>
  <si>
    <t>KSh 2,169</t>
  </si>
  <si>
    <t>KSh 2,000</t>
  </si>
  <si>
    <t>KSh 1,190</t>
  </si>
  <si>
    <t>KSh 1,785</t>
  </si>
  <si>
    <t>KSh 671</t>
  </si>
  <si>
    <t>KSh 1,316</t>
  </si>
  <si>
    <t>KSh 1,200</t>
  </si>
  <si>
    <t>KSh 1,950</t>
  </si>
  <si>
    <t>KSh 199</t>
  </si>
  <si>
    <t>KSh 504</t>
  </si>
  <si>
    <t>KSh 299</t>
  </si>
  <si>
    <t>KSh 600</t>
  </si>
  <si>
    <t>KSh 1,660</t>
  </si>
  <si>
    <t>KSh 1,699</t>
  </si>
  <si>
    <t>KSh 384</t>
  </si>
  <si>
    <t>KSh 1,459</t>
  </si>
  <si>
    <t>KSh 1,499</t>
  </si>
  <si>
    <t>KSh 1,343</t>
  </si>
  <si>
    <t>KSh 499</t>
  </si>
  <si>
    <t>KSh 900</t>
  </si>
  <si>
    <t>KSh 699</t>
  </si>
  <si>
    <t>KSh 1,567</t>
  </si>
  <si>
    <t>KSh 2,799</t>
  </si>
  <si>
    <t>KSh 3,810</t>
  </si>
  <si>
    <t>KSh 399</t>
  </si>
  <si>
    <t>KSh 896</t>
  </si>
  <si>
    <t>KSh 2,170</t>
  </si>
  <si>
    <t>KSh 2,500</t>
  </si>
  <si>
    <t>2.5 out of 5</t>
  </si>
  <si>
    <t>KSh 458</t>
  </si>
  <si>
    <t>KSh 986</t>
  </si>
  <si>
    <t>3 out of 5</t>
  </si>
  <si>
    <t>KSh 2,115</t>
  </si>
  <si>
    <t>KSh 4,700</t>
  </si>
  <si>
    <t>2.1 out of 5</t>
  </si>
  <si>
    <t>KSh 445</t>
  </si>
  <si>
    <t>KSh 873</t>
  </si>
  <si>
    <t>2.8 out of 5</t>
  </si>
  <si>
    <t>KSh 325</t>
  </si>
  <si>
    <t>KSh 680</t>
  </si>
  <si>
    <t>2.7 out of 5</t>
  </si>
  <si>
    <t>KSh 1,220</t>
  </si>
  <si>
    <t>KSh 1,555</t>
  </si>
  <si>
    <t>2.9 out of 5</t>
  </si>
  <si>
    <t>KSh 1,814</t>
  </si>
  <si>
    <t>2.2 out of 5</t>
  </si>
  <si>
    <t>KSh 1,000</t>
  </si>
  <si>
    <t>2.3 out of 5</t>
  </si>
  <si>
    <t>KSh 3,750</t>
  </si>
  <si>
    <t>KSh 6,143</t>
  </si>
  <si>
    <t>KSh 700</t>
  </si>
  <si>
    <t>2.6 out of 5</t>
  </si>
  <si>
    <t>KSh 2,300</t>
  </si>
  <si>
    <t>KSh 3,240</t>
  </si>
  <si>
    <t>KSh 345</t>
  </si>
  <si>
    <t>KSh 602</t>
  </si>
  <si>
    <t>KSh 509</t>
  </si>
  <si>
    <t>KSh 899</t>
  </si>
  <si>
    <t>KSh 968</t>
  </si>
  <si>
    <t>KSh 1,570</t>
  </si>
  <si>
    <t>KSh 2,988</t>
  </si>
  <si>
    <t>KSh 790</t>
  </si>
  <si>
    <t>KSh 1,485</t>
  </si>
  <si>
    <t>KSh 690</t>
  </si>
  <si>
    <t>KSh 1,732</t>
  </si>
  <si>
    <t>KSh 1,799</t>
  </si>
  <si>
    <t>KSh 230</t>
  </si>
  <si>
    <t>KSh 450</t>
  </si>
  <si>
    <t>KSh 1,189</t>
  </si>
  <si>
    <t>KSh 979</t>
  </si>
  <si>
    <t>KSh 1,920</t>
  </si>
  <si>
    <t>KSh 1,460</t>
  </si>
  <si>
    <t>KSh 2,290</t>
  </si>
  <si>
    <t>KSh 1,666</t>
  </si>
  <si>
    <t>KSh 330</t>
  </si>
  <si>
    <t>KSh 176</t>
  </si>
  <si>
    <t>KSh 1,466</t>
  </si>
  <si>
    <t>KSh 274</t>
  </si>
  <si>
    <t>KSh 537</t>
  </si>
  <si>
    <t>KSh 657</t>
  </si>
  <si>
    <t>KSh 1,288</t>
  </si>
  <si>
    <t>KSh 1,468</t>
  </si>
  <si>
    <t>KSh 630</t>
  </si>
  <si>
    <t>KSh 1,100</t>
  </si>
  <si>
    <t>KSh 850</t>
  </si>
  <si>
    <t>KSh 1,700</t>
  </si>
  <si>
    <t>KSh 1,300</t>
  </si>
  <si>
    <t>KSh 105</t>
  </si>
  <si>
    <t>KSh 200</t>
  </si>
  <si>
    <t>KSh 2,400</t>
  </si>
  <si>
    <t>KSh 1,526</t>
  </si>
  <si>
    <t>KSh 1,462</t>
  </si>
  <si>
    <t>KSh 248</t>
  </si>
  <si>
    <t>KSh 486</t>
  </si>
  <si>
    <t>KSh 3,546</t>
  </si>
  <si>
    <t>KSh 525</t>
  </si>
  <si>
    <t>KSh 1,029</t>
  </si>
  <si>
    <t>KSh 1,080</t>
  </si>
  <si>
    <t>KSh 1,874</t>
  </si>
  <si>
    <t>KSh 3,640</t>
  </si>
  <si>
    <t>KSh 4,588</t>
  </si>
  <si>
    <t>KSh 1,420</t>
  </si>
  <si>
    <t>KSh 2,420</t>
  </si>
  <si>
    <t>KSh 1,875</t>
  </si>
  <si>
    <t>KSh 1,899</t>
  </si>
  <si>
    <t>KSh 198</t>
  </si>
  <si>
    <t>KSh 260</t>
  </si>
  <si>
    <t>KSh 1,150</t>
  </si>
  <si>
    <t>KSh 1,737</t>
  </si>
  <si>
    <t>KSh 1,810</t>
  </si>
  <si>
    <t>KSh 1,658</t>
  </si>
  <si>
    <t>KSh 1,768</t>
  </si>
  <si>
    <t>KSh 553</t>
  </si>
  <si>
    <t>2 out of 5</t>
  </si>
  <si>
    <t>KSh 169</t>
  </si>
  <si>
    <t>KSh 320</t>
  </si>
  <si>
    <t>Introduction and Overview</t>
  </si>
  <si>
    <t>This report documents every step taken to analyse the Jumia e-commerce dataset, clean the data, enrich it with calculated columns, perform descriptive and trend analysis, and finally present the findings in an interactive Excel dashboard complete with pivot tables, charts, and slicers.</t>
  </si>
  <si>
    <t>The dataset contained product listings scraped from Jumia, including pricing, discount information, customer reviews, and star ratings. The goal was to transform raw, unclean data into actionable business insights that a decision-maker can explore interactively.</t>
  </si>
  <si>
    <t>Original Dataset Overview</t>
  </si>
  <si>
    <t>Total rows (raw):  117, Columns: 9</t>
  </si>
  <si>
    <t>Columns: Product, Current price, old price, Absolute discount, Discount, Disc %, Review, Ratings, Ratings 2</t>
  </si>
  <si>
    <t>Issues found: summary rows appended at the bottom, one product with a price range instead of a single value, missing values in Review/Ratings columns, mixed text and numeric formats in price fields.</t>
  </si>
  <si>
    <t>STEP 1    Data Cleaning &amp; Preparation</t>
  </si>
  <si>
    <t>Before any analysis could begin, the raw data was carefully inspected for quality issues. The following problems were found and resolved:</t>
  </si>
  <si>
    <t>Problem Found</t>
  </si>
  <si>
    <t>Location / Details</t>
  </si>
  <si>
    <t>Action Taken</t>
  </si>
  <si>
    <t>Summary rows appended to data</t>
  </si>
  <si>
    <t>Rows 113–117: labelled "average", "max", "min" — not product rows</t>
  </si>
  <si>
    <t>Deleted all 5 rows; only rows 1–112 retained</t>
  </si>
  <si>
    <t>Blank / duplicate rows</t>
  </si>
  <si>
    <t>Rows 112 and 115 were completely empty (NaN in every column)</t>
  </si>
  <si>
    <t>Removed as part of the summary-row cleanup</t>
  </si>
  <si>
    <t>Price range instead of single value</t>
  </si>
  <si>
    <t>Sofa Cover product had "1,620 – 1,980" in Current Price — not numeric</t>
  </si>
  <si>
    <t>Row removed; cannot average a range in calculations</t>
  </si>
  <si>
    <t>Price columns stored as text</t>
  </si>
  <si>
    <t>KSh prefix and commas (e.g. "KSh 2,199") prevented arithmetic</t>
  </si>
  <si>
    <t>Stripped all text; converted to plain integers</t>
  </si>
  <si>
    <t>Missing Discount % for some rows</t>
  </si>
  <si>
    <t>4 rows had Discount and Disc % as blank despite having prices</t>
  </si>
  <si>
    <t>Recalculated: Discount % = (Old Price - Current Price) / Old Price</t>
  </si>
  <si>
    <t>Missing Reviews &amp; Ratings</t>
  </si>
  <si>
    <t>60 products had no review count; 59 had no star rating</t>
  </si>
  <si>
    <t>Left blank (legitimate — product has 0 reviews); tagged as N/A in category column</t>
  </si>
  <si>
    <t>After cleaning, the working dataset contained 111 products with complete, numeric pricing data.</t>
  </si>
  <si>
    <t>1.2 Data Enrichment — Calculated Columns</t>
  </si>
  <si>
    <t>Four new columns were added to the Cleaned Data sheet. Each one uses an Excel formula that references other cells in the same row, so the values update automatically if the source data changes.</t>
  </si>
  <si>
    <t>New Column</t>
  </si>
  <si>
    <t>Column Letter</t>
  </si>
  <si>
    <t>Excel Formula Used</t>
  </si>
  <si>
    <t>Column D</t>
  </si>
  <si>
    <t>Column E</t>
  </si>
  <si>
    <t>Column F</t>
  </si>
  <si>
    <t>Column J</t>
  </si>
  <si>
    <t>Column K</t>
  </si>
  <si>
    <t>1.3 Conditional Formatting Applied</t>
  </si>
  <si>
    <t>Two colour-scale rules were applied directly on the Cleaned Data sheet to make patterns immediately visible:</t>
  </si>
  <si>
    <t xml:space="preserve">  STEP 2    Data Analysis — Descriptive Statistics &amp; Trend Analysis</t>
  </si>
  <si>
    <t>2.1 Descriptive Statistics</t>
  </si>
  <si>
    <t>All descriptive statistics were calculated on the Analysis sheet using cell-reference formulas that pull directly from the Cleaned Data sheet. This ensures that if any value is corrected in Cleaned Data, the statistics update automatically.</t>
  </si>
  <si>
    <t>Statistic</t>
  </si>
  <si>
    <t>Function</t>
  </si>
  <si>
    <t>Formula / Result Description</t>
  </si>
  <si>
    <t>=COUNTA('Cleaned Data'!A2:A112)   → 111 products</t>
  </si>
  <si>
    <t>Average Current Price</t>
  </si>
  <si>
    <t>Average Old Price</t>
  </si>
  <si>
    <t>Average Discount %</t>
  </si>
  <si>
    <t>Average Rating (reviewed only)</t>
  </si>
  <si>
    <t>=AVERAGEIF(H2:H112,"&lt;&gt;",H2:H112)   excludes blanks</t>
  </si>
  <si>
    <t>Cheapest Product</t>
  </si>
  <si>
    <t>Avg Rating — High Discount Products</t>
  </si>
  <si>
    <t>=AVERAGEIF(F:F,"High Discount",H:H)   conditional average on two columns</t>
  </si>
  <si>
    <t>=COUNTBLANK('Cleaned Data'!G2:G112)   → 60 products</t>
  </si>
  <si>
    <t>2.2 Top &amp; Bottom Product Rankings</t>
  </si>
  <si>
    <t>Rankings were produced using LARGE and SMALL array formulas combined with INDEX/MATCH to retrieve the product name that corresponds to each ranked value:</t>
  </si>
  <si>
    <t>The rank number (1 through 10) is embedded directly in each formula so all 10 rows can be seen at once without any scrolling or filtering.</t>
  </si>
  <si>
    <t>2.3 Trend Analysis</t>
  </si>
  <si>
    <t>Trend 1 — Does a Higher Discount Lead to More Reviews?</t>
  </si>
  <si>
    <t>Products were grouped into five discount bands (&lt;20%, 20–30%, 30–40%, 40–50%, &gt;50%) using COUNTIFS and AVERAGEIFS. The average review count was calculated for each band. This allows visual comparison across the discount spectrum.</t>
  </si>
  <si>
    <t>Formula pattern used:</t>
  </si>
  <si>
    <t>Trend 2 — Do Higher-Rated Products Have More Reviews?</t>
  </si>
  <si>
    <t>The AVERAGEIF function was used to compare the average review count across the three rating categories (Poor, Average, Excellent). A separate column also checks whether higher-rated products tend to be priced higher or lower, addressing the question of whether quality correlates with price.</t>
  </si>
  <si>
    <t>Trend 3 — High Discount vs Low Discount Performance</t>
  </si>
  <si>
    <t>A dedicated comparison table on the Dashboard contrasts High Discount products against Low Discount products across five metrics: number of products, average price, average discount %, average rating, and average reviews. The Difference column uses a simple subtraction formula (=C_row - D_row) to quantify the gap.</t>
  </si>
  <si>
    <t>STEP 3    Pivot Tables — Building the Aggregated Summaries</t>
  </si>
  <si>
    <t>3.1 Why Pivot Tables?</t>
  </si>
  <si>
    <t>Pivot tables allow a reader to slice the same dataset from different angles without writing any additional formulas. In this project, four pivot-style tables were built on the dedicated PivotTables sheet. Each table uses COUNTIF, AVERAGEIF, AVERAGEIFS, or COUNTIFS formulas that reference the PivotSource sheet.</t>
  </si>
  <si>
    <t>3.2  PivotSource Sheet</t>
  </si>
  <si>
    <t>A separate PivotSource sheet was created with raw computed values (no formulas). This is important because Excel PivotTables need a static data range as their source they cannot read from formula-driven cells reliably across different versions. The sheet has the same 11 columns as Cleaned Data but with all values already computed.</t>
  </si>
  <si>
    <t>3.3  The Four Pivot Tables</t>
  </si>
  <si>
    <t>PT #</t>
  </si>
  <si>
    <t>Pivot Table Name</t>
  </si>
  <si>
    <t>What It Shows</t>
  </si>
  <si>
    <t>PT 1</t>
  </si>
  <si>
    <t>By Discount Category</t>
  </si>
  <si>
    <t>For each discount tier (High / Medium / Low), shows: count of products, average current price, average star rating, and average reviews. Answers: which discount tier has the most products, and do heavily discounted products rate well?</t>
  </si>
  <si>
    <t>PT 2</t>
  </si>
  <si>
    <t>By Rating Category</t>
  </si>
  <si>
    <t>For each rating tier (Excellent / Average / Poor / N/A), shows: count of products, average current price, average discount %, and average reviews. Answers: do excellent products cost more, and are they more or less discounted?</t>
  </si>
  <si>
    <t>PT 3</t>
  </si>
  <si>
    <t>Discount Range vs Reviews &amp; Rating</t>
  </si>
  <si>
    <t>Groups products into five finer discount bands (&lt;20%, 20–30%, 30–40%, 40–50%, &gt;50%) and for each shows: count, average price, average discount %, average reviews, and average rating. Reveals the "sweet spot" discount range for maximum customer engagement.</t>
  </si>
  <si>
    <t>PT 4</t>
  </si>
  <si>
    <t>Cross-Analysis Matrix</t>
  </si>
  <si>
    <t>A cross-tabulation (matrix) showing how many products fall into each combination of Rating Category (rows) × Discount Label (columns). Example: how many Excellent-rated products are also High Discount? This is a classic pivot-table cross-analysis.</t>
  </si>
  <si>
    <t>3.4  Grand Total Rows</t>
  </si>
  <si>
    <t>Each pivot table includes a Grand Total row at the bottom. These use SUM or AVERAGE across the category rows above them, so they reflect the overall dataset figures rather than recalculating from scratch — making it easy to verify that individual category totals add up correctly.</t>
  </si>
  <si>
    <t xml:space="preserve">  STEP 4    Dashboard Design — KPIs, Charts &amp; Layout</t>
  </si>
  <si>
    <t xml:space="preserve">4.1  Dashboard Layout </t>
  </si>
  <si>
    <t>The Dashboard sheet is the front page of the workbook. It is divided into clearly separated zones, each answering a different category of question.</t>
  </si>
  <si>
    <t>4.2  KPI Card Formulas</t>
  </si>
  <si>
    <t>Each KPI card on the Dashboard contains a live formula referencing the Cleaned Data sheet. Examples:</t>
  </si>
  <si>
    <t>4.3  Charts</t>
  </si>
  <si>
    <t>Four charts were inserted into the Dashboard, each driven by data from the Pivot Data sheet so they update automatically:</t>
  </si>
  <si>
    <t>Chart</t>
  </si>
  <si>
    <t>Type</t>
  </si>
  <si>
    <t>What It Shows &amp; Why This Chart Type</t>
  </si>
  <si>
    <t>Chart 1</t>
  </si>
  <si>
    <t>Column Bar</t>
  </si>
  <si>
    <t>Products by Rating Category (Excellent / Average / Poor / N/A). A vertical bar chart is ideal for comparing counts across discrete categories — the tallest bar immediately shows the dominant group.</t>
  </si>
  <si>
    <t>Chart 2</t>
  </si>
  <si>
    <t>Pie Chart</t>
  </si>
  <si>
    <t>Products by Discount Category (High / Medium / Low). A pie chart shows proportional share — the reader can instantly see that most products fall in the High Discount tier.</t>
  </si>
  <si>
    <t>Chart 3</t>
  </si>
  <si>
    <t>Average Reviews by Discount Range (the five bands). Shows whether more aggressive discounts attract more reviews. A rising or falling trend across the bars answers the key business question directly.</t>
  </si>
  <si>
    <t>Chart 4</t>
  </si>
  <si>
    <t>Horizontal Bar</t>
  </si>
  <si>
    <t>Average Rating by Discount Category. A horizontal bar emphasises differences in a metric (rating) that has a narrow range — easier to read than a tall thin column chart.</t>
  </si>
  <si>
    <t>4.4  Conditional Formatting on the Dashboard</t>
  </si>
  <si>
    <t>The Cleaned Data sheet has two colour-scale conditional formatting rules already applied (Discount % and Rating columns). These carry across to the dashboard context because the summary tables on the Dashboard use cell-reference formulas that pull values live. When a product is selected via a slicer, the underlying values update and the colour scales re-render accordingly.</t>
  </si>
  <si>
    <t>STEP 5    Slicers — Making the Dashboard Interactive</t>
  </si>
  <si>
    <t>5.1 What Are Slicers.</t>
  </si>
  <si>
    <t>A Slicer is a visual filter button panel in Excel. When a reader clicks a slicer button (for example, "High Discount"), every PivotTable and chart connected to that slicer instantly filters to show only high-discount products. This removes the need to manually change formulas or scroll through data.</t>
  </si>
  <si>
    <t>5.2 Slicers in This Workbook</t>
  </si>
  <si>
    <t>The PivotTables sheet contains a dedicated section with step-by-step slicer setup instructions. The three slicer fields recommended for this workbook are:</t>
  </si>
  <si>
    <t>Slicer Field</t>
  </si>
  <si>
    <t>Source Column</t>
  </si>
  <si>
    <t>What Clicking It Does</t>
  </si>
  <si>
    <t>Column F — Cleaned Data</t>
  </si>
  <si>
    <t>Filters all connected pivot tables to show only Low / Medium / High Discount products. All averages and counts recalculate for the filtered subset.</t>
  </si>
  <si>
    <t>Column J — Cleaned Data</t>
  </si>
  <si>
    <t>Filters to show only Excellent / Average / Poor / N/A rated products. Instantly reveals whether highly rated products also tend to have higher discounts.</t>
  </si>
  <si>
    <t>Column K — Cleaned Data</t>
  </si>
  <si>
    <t>Mirrors Discount Label — allows filtering from either column depending on which PivotTable the slicer was created from.</t>
  </si>
  <si>
    <t>STEP 6    Key Findings &amp; Business Insights</t>
  </si>
  <si>
    <t>6.1  Discount Analysis Findings</t>
  </si>
  <si>
    <t>6.2  Rating &amp; Review Findings</t>
  </si>
  <si>
    <t>6.3  Price vs Quality Findings</t>
  </si>
  <si>
    <t>1.1 Identifying Problems in the Raw Data</t>
  </si>
  <si>
    <t>•        Discount % column (E): Green = low discount (cheaper product), transitioning through yellow to Red = high discount. This quickly shows which products are most heavily marked down.</t>
  </si>
  <si>
    <t>•        Rating column (H): Red = low rating (poor product), transitioning through yellow to Green = high rating. Allows instant quality scanning down the column.</t>
  </si>
  <si>
    <t>•        Top 5 Highest Rated: =INDEX($A:$A, MATCH(LARGE(IF($H:$H&lt;&gt;"", $H:$H), rank), $H:$H, 0))</t>
  </si>
  <si>
    <t>•        Top 5 Lowest Rated: Same structure but SMALL() instead of LARGE()</t>
  </si>
  <si>
    <t>•        Top 10 by Discount %: =INDEX($A:$A, MATCH(LARGE($E:$E, rank), $E:$E, 0))</t>
  </si>
  <si>
    <t>•        Top 10 by Reviews: =INDEX($A:$A, MATCH(LARGE($G:$G, rank), $G:$G, 0))</t>
  </si>
  <si>
    <t>•        Count: =COUNTIFS($E:$E,"&gt;=0.20",$E:$E,"&lt;0.30")</t>
  </si>
  <si>
    <t>•        Avg Reviews: =AVERAGEIFS($G:$G,$E:$E,"&gt;=0.20",$E:$E,"&lt;0.30")</t>
  </si>
  <si>
    <t>•        Total Products:  =COUNTA('Cleaned Data'!A2:A112)</t>
  </si>
  <si>
    <t>•        Average Price:  =ROUND(AVERAGE('Cleaned Data'!B2:B112), 0)</t>
  </si>
  <si>
    <t>•        Average Discount:  =ROUND(AVERAGE('Cleaned Data'!E2:E112)*100, 1)  — multiplied by 100 to show as a percentage number</t>
  </si>
  <si>
    <t>•        Average Rating:  =ROUND(AVERAGEIF('Cleaned Data'!H2:H112, "&lt;&gt;", 'Cleaned Data'!H2:H112), 2)  — the AVERAGEIF excludes blank cells so products with no rating do not drag the average down</t>
  </si>
  <si>
    <t>•        Total Reviews:  =SUM('Cleaned Data'!G2:G112)</t>
  </si>
  <si>
    <t>•        High Discount Products:  =COUNTIF('Cleaned Data'!F2:F112, "High Discount")</t>
  </si>
  <si>
    <t>•        62 out of 111 products (56%) are in the High Discount category (&gt;40% off), making heavily discounted items the dominant product type on this dataset.</t>
  </si>
  <si>
    <t>•        Only 18 products carry a Low Discount (&lt;20%), suggesting that most sellers on Jumia in this category use aggressive pricing strategies.</t>
  </si>
  <si>
    <t>•        High-discount products do not consistently receive better ratings than low-discount products — suggesting that price cuts alone do not drive quality perception.</t>
  </si>
  <si>
    <t>•        The majority of products (approximately 57) have no rating at all, indicating they are relatively new listings with few or no buyers yet.</t>
  </si>
  <si>
    <t>•        Of reviewed products, Excellent-rated products (4.5+) number 23, Average-rated 22, and Poor-rated 12 — a roughly even split among reviewed products.</t>
  </si>
  <si>
    <t>•        Products in the 30–40% discount range (Medium Discount tier) tend to attract the highest average review counts, suggesting this is the "sweet spot" where customers feel they are getting value without the product seeming suspiciously cheap.</t>
  </si>
  <si>
    <t>•        Excellent-rated products do not uniformly command higher prices — some of the best-rated products are among the most affordable.</t>
  </si>
  <si>
    <t>•        Some products carry a high discount but a low or no rating, which may indicate overstock clearance items that have not yet attracted buyers.</t>
  </si>
  <si>
    <t>•        The cross-analysis matrix (PT4) reveals whether any rating-discount combination is unexpectedly over- or under-represented in the data.</t>
  </si>
  <si>
    <t>F2    (mirrors Discount Label — for slicer compatibility)</t>
  </si>
  <si>
    <t>IF(H2="","N/A",IF(H2&lt;3,"Poor",IF(H2&lt;4.5,"Average","Excellent")))</t>
  </si>
  <si>
    <t>IF(C2&gt;0,(C2-B2)/C2,0)    formatted as 0.0%</t>
  </si>
  <si>
    <t>C2-B2    (Old Price minus Current Price)</t>
  </si>
  <si>
    <t>AVERAGE('Cleaned Data'!B2:B112)</t>
  </si>
  <si>
    <t>AVERAGE('Cleaned Data'!C2:C112)</t>
  </si>
  <si>
    <t>AVERAGE('Cleaned Data'!E2:E112)   → shown as 0.0%</t>
  </si>
  <si>
    <t>SUM('Cleaned Data'!G2:G112)</t>
  </si>
  <si>
    <t>INDEX(A:A,MATCH(MAX(B:B),B:B,0))   finds the product name at the highest Price</t>
  </si>
  <si>
    <t>INDEX(A:A,MATCH(MIN(B:B),B:B,0))   finds the product name at the lowest Price</t>
  </si>
  <si>
    <t>IF(E2="","N/A",IF(E2&lt;0.2,"Low Discount",IF(E2&lt;=0.4,"Medium Discount","High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</si>
</sst>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amily val="2"/>
      <charset val="1"/>
    </font>
    <font>
      <b/>
      <sz val="18"/>
      <color rgb="FFFFFFFF"/>
      <name val="Calibri"/>
      <charset val="1"/>
    </font>
    <font>
      <i/>
      <sz val="9"/>
      <color rgb="FFBBBBBB"/>
      <name val="Calibri"/>
      <charset val="1"/>
    </font>
    <font>
      <b/>
      <sz val="8"/>
      <color rgb="FFFFFFFF"/>
      <name val="Calibri"/>
      <charset val="1"/>
    </font>
    <font>
      <b/>
      <sz val="20"/>
      <color rgb="FFFFFFFF"/>
      <name val="Calibri"/>
      <charset val="1"/>
    </font>
    <font>
      <sz val="8"/>
      <color rgb="FFDDDDDD"/>
      <name val="Calibri"/>
      <charset val="1"/>
    </font>
    <font>
      <b/>
      <sz val="11"/>
      <color rgb="FFFFFFFF"/>
      <name val="Calibri"/>
      <charset val="1"/>
    </font>
    <font>
      <b/>
      <sz val="9"/>
      <color rgb="FFFFFFFF"/>
      <name val="Calibri"/>
      <charset val="1"/>
    </font>
    <font>
      <sz val="9"/>
      <color rgb="FF000000"/>
      <name val="Calibri"/>
      <charset val="1"/>
    </font>
    <font>
      <b/>
      <sz val="9"/>
      <color rgb="FF000000"/>
      <name val="Calibri"/>
      <charset val="1"/>
    </font>
    <font>
      <i/>
      <sz val="8"/>
      <color rgb="FF777777"/>
      <name val="Calibri"/>
      <charset val="1"/>
    </font>
    <font>
      <sz val="10"/>
      <color rgb="FF000000"/>
      <name val="Calibri"/>
      <charset val="1"/>
    </font>
    <font>
      <b/>
      <sz val="12"/>
      <color rgb="FFFFFFFF"/>
      <name val="Calibri"/>
      <charset val="1"/>
    </font>
    <font>
      <b/>
      <sz val="10"/>
      <color rgb="FF000000"/>
      <name val="Calibri"/>
      <charset val="1"/>
    </font>
    <font>
      <i/>
      <sz val="9"/>
      <color rgb="FF555555"/>
      <name val="Calibri"/>
      <charset val="1"/>
    </font>
    <font>
      <b/>
      <sz val="10"/>
      <color rgb="FFFFFFFF"/>
      <name val="Calibri"/>
    </font>
    <font>
      <sz val="9"/>
      <name val="Calibri"/>
    </font>
    <font>
      <b/>
      <sz val="14"/>
      <color rgb="FFFFFFFF"/>
      <name val="Calibri"/>
    </font>
    <font>
      <i/>
      <sz val="9"/>
      <color rgb="FF555555"/>
      <name val="Calibri"/>
    </font>
    <font>
      <b/>
      <sz val="11"/>
      <color rgb="FFFFFFFF"/>
      <name val="Calibri"/>
    </font>
    <font>
      <sz val="10"/>
      <name val="Calibri"/>
    </font>
    <font>
      <b/>
      <sz val="11"/>
      <color theme="1"/>
      <name val="Calibri"/>
      <family val="2"/>
    </font>
  </fonts>
  <fills count="30">
    <fill>
      <patternFill patternType="none"/>
    </fill>
    <fill>
      <patternFill patternType="gray125"/>
    </fill>
    <fill>
      <patternFill patternType="solid">
        <fgColor rgb="FF1A237E"/>
        <bgColor rgb="FF000080"/>
      </patternFill>
    </fill>
    <fill>
      <patternFill patternType="solid">
        <fgColor rgb="FF3949AB"/>
        <bgColor rgb="FF5C6BC0"/>
      </patternFill>
    </fill>
    <fill>
      <patternFill patternType="solid">
        <fgColor rgb="FFFF6F00"/>
        <bgColor rgb="FFFB8C00"/>
      </patternFill>
    </fill>
    <fill>
      <patternFill patternType="solid">
        <fgColor rgb="FF2E7D32"/>
        <bgColor rgb="FF43A047"/>
      </patternFill>
    </fill>
    <fill>
      <patternFill patternType="solid">
        <fgColor rgb="FFC62828"/>
        <bgColor rgb="FFE53935"/>
      </patternFill>
    </fill>
    <fill>
      <patternFill patternType="solid">
        <fgColor rgb="FF5C6BC0"/>
        <bgColor rgb="FF4F81BD"/>
      </patternFill>
    </fill>
    <fill>
      <patternFill patternType="solid">
        <fgColor rgb="FF43A047"/>
        <bgColor rgb="FF2E7D32"/>
      </patternFill>
    </fill>
    <fill>
      <patternFill patternType="solid">
        <fgColor rgb="FFE8EAF6"/>
        <bgColor rgb="FFDDDDDD"/>
      </patternFill>
    </fill>
    <fill>
      <patternFill patternType="solid">
        <fgColor rgb="FFFB8C00"/>
        <bgColor rgb="FFFF6F00"/>
      </patternFill>
    </fill>
    <fill>
      <patternFill patternType="solid">
        <fgColor rgb="FFF9A825"/>
        <bgColor rgb="FFFB8C00"/>
      </patternFill>
    </fill>
    <fill>
      <patternFill patternType="solid">
        <fgColor rgb="FFE53935"/>
        <bgColor rgb="FFC62828"/>
      </patternFill>
    </fill>
    <fill>
      <patternFill patternType="solid">
        <fgColor rgb="FF9E9E9E"/>
        <bgColor rgb="FF878787"/>
      </patternFill>
    </fill>
    <fill>
      <patternFill patternType="solid">
        <fgColor rgb="FF1A237E"/>
      </patternFill>
    </fill>
    <fill>
      <patternFill patternType="solid">
        <fgColor rgb="FFE8EAF6"/>
      </patternFill>
    </fill>
    <fill>
      <patternFill patternType="solid">
        <fgColor rgb="FFF5F5F5"/>
      </patternFill>
    </fill>
    <fill>
      <patternFill patternType="solid">
        <fgColor rgb="FFFF6F00"/>
      </patternFill>
    </fill>
    <fill>
      <patternFill patternType="solid">
        <fgColor rgb="FFC62828"/>
      </patternFill>
    </fill>
    <fill>
      <patternFill patternType="solid">
        <fgColor rgb="FFF9A825"/>
      </patternFill>
    </fill>
    <fill>
      <patternFill patternType="solid">
        <fgColor rgb="FF2E7D32"/>
      </patternFill>
    </fill>
    <fill>
      <patternFill patternType="solid">
        <fgColor rgb="FF3949AB"/>
      </patternFill>
    </fill>
    <fill>
      <patternFill patternType="solid">
        <fgColor rgb="FF43A047"/>
      </patternFill>
    </fill>
    <fill>
      <patternFill patternType="solid">
        <fgColor rgb="FFFB8C00"/>
      </patternFill>
    </fill>
    <fill>
      <patternFill patternType="solid">
        <fgColor rgb="FFE53935"/>
      </patternFill>
    </fill>
    <fill>
      <patternFill patternType="solid">
        <fgColor rgb="FF9E9E9E"/>
      </patternFill>
    </fill>
    <fill>
      <patternFill patternType="solid">
        <fgColor rgb="FF1565C0"/>
      </patternFill>
    </fill>
    <fill>
      <patternFill patternType="solid">
        <fgColor rgb="FF00838F"/>
      </patternFill>
    </fill>
    <fill>
      <patternFill patternType="solid">
        <fgColor rgb="FF1B5E20"/>
      </patternFill>
    </fill>
    <fill>
      <patternFill patternType="solid">
        <fgColor rgb="FF4A148C"/>
      </patternFill>
    </fill>
  </fills>
  <borders count="14">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BBBBBB"/>
      </left>
      <right style="thin">
        <color rgb="FFBBBBBB"/>
      </right>
      <top style="thin">
        <color rgb="FFBBBBBB"/>
      </top>
      <bottom style="thin">
        <color rgb="FFBBBBBB"/>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top/>
      <bottom style="thin">
        <color rgb="FFCCCCCC"/>
      </bottom>
      <diagonal/>
    </border>
    <border>
      <left/>
      <right/>
      <top/>
      <bottom style="thin">
        <color rgb="FFBBBBBB"/>
      </bottom>
      <diagonal/>
    </border>
  </borders>
  <cellStyleXfs count="1">
    <xf numFmtId="0" fontId="0" fillId="0" borderId="0"/>
  </cellStyleXfs>
  <cellXfs count="165">
    <xf numFmtId="0" fontId="0" fillId="0" borderId="0" xfId="0"/>
    <xf numFmtId="0" fontId="7"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3" fontId="8" fillId="9" borderId="1" xfId="0" applyNumberFormat="1" applyFont="1" applyFill="1" applyBorder="1" applyAlignment="1">
      <alignment horizontal="center" vertical="center" wrapText="1"/>
    </xf>
    <xf numFmtId="165" fontId="8" fillId="9" borderId="1" xfId="0" applyNumberFormat="1" applyFont="1" applyFill="1" applyBorder="1" applyAlignment="1">
      <alignment horizontal="center" vertical="center" wrapText="1"/>
    </xf>
    <xf numFmtId="164" fontId="8" fillId="9" borderId="1" xfId="0" applyNumberFormat="1" applyFont="1" applyFill="1" applyBorder="1" applyAlignment="1">
      <alignment horizontal="center" vertical="center" wrapText="1"/>
    </xf>
    <xf numFmtId="0" fontId="7" fillId="6" borderId="1" xfId="0" applyFont="1" applyFill="1" applyBorder="1" applyAlignment="1">
      <alignment horizontal="center" vertical="center" wrapText="1"/>
    </xf>
    <xf numFmtId="2" fontId="8" fillId="9"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3"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7" fillId="11" borderId="1" xfId="0" applyFont="1" applyFill="1" applyBorder="1" applyAlignment="1">
      <alignment horizontal="center" vertical="center" wrapText="1"/>
    </xf>
    <xf numFmtId="2" fontId="8" fillId="0" borderId="1" xfId="0" applyNumberFormat="1" applyFont="1" applyBorder="1" applyAlignment="1">
      <alignment horizontal="center" vertical="center" wrapText="1"/>
    </xf>
    <xf numFmtId="0" fontId="7" fillId="1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9" fillId="9" borderId="1" xfId="0" applyFont="1" applyFill="1" applyBorder="1" applyAlignment="1">
      <alignment horizontal="left" vertical="center" wrapText="1"/>
    </xf>
    <xf numFmtId="0" fontId="9" fillId="0" borderId="1" xfId="0" applyFont="1" applyBorder="1"/>
    <xf numFmtId="3" fontId="0" fillId="0" borderId="1" xfId="0" applyNumberFormat="1" applyBorder="1"/>
    <xf numFmtId="164" fontId="0" fillId="0" borderId="1" xfId="0" applyNumberFormat="1" applyBorder="1"/>
    <xf numFmtId="2" fontId="0" fillId="0" borderId="1" xfId="0" applyNumberFormat="1" applyBorder="1"/>
    <xf numFmtId="0" fontId="9" fillId="9" borderId="1" xfId="0" applyFont="1" applyFill="1" applyBorder="1"/>
    <xf numFmtId="3" fontId="0" fillId="9" borderId="1" xfId="0" applyNumberFormat="1" applyFill="1" applyBorder="1"/>
    <xf numFmtId="164" fontId="0" fillId="9" borderId="1" xfId="0" applyNumberFormat="1" applyFill="1" applyBorder="1"/>
    <xf numFmtId="2" fontId="0" fillId="9" borderId="1" xfId="0" applyNumberFormat="1" applyFill="1" applyBorder="1"/>
    <xf numFmtId="0" fontId="6" fillId="2"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3" fontId="11" fillId="9" borderId="1" xfId="0" applyNumberFormat="1" applyFont="1" applyFill="1" applyBorder="1" applyAlignment="1">
      <alignment horizontal="center" vertical="center" wrapText="1"/>
    </xf>
    <xf numFmtId="165" fontId="11" fillId="9"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164" fontId="11" fillId="9" borderId="1" xfId="0" applyNumberFormat="1" applyFont="1" applyFill="1" applyBorder="1" applyAlignment="1">
      <alignment horizontal="center" vertical="center" wrapText="1"/>
    </xf>
    <xf numFmtId="0" fontId="11" fillId="0" borderId="1" xfId="0" applyFont="1" applyBorder="1" applyAlignment="1">
      <alignment horizontal="left" vertical="center" wrapText="1"/>
    </xf>
    <xf numFmtId="3" fontId="11"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vertical="center" wrapText="1"/>
    </xf>
    <xf numFmtId="0" fontId="13" fillId="9" borderId="1" xfId="0" applyFont="1" applyFill="1" applyBorder="1" applyAlignment="1">
      <alignment horizontal="left" vertical="center" wrapText="1"/>
    </xf>
    <xf numFmtId="0" fontId="14" fillId="9" borderId="1" xfId="0" applyFont="1" applyFill="1" applyBorder="1" applyAlignment="1">
      <alignment horizontal="center" vertical="center" wrapText="1"/>
    </xf>
    <xf numFmtId="2" fontId="11" fillId="0" borderId="1" xfId="0" applyNumberFormat="1" applyFont="1" applyBorder="1" applyAlignment="1">
      <alignment horizontal="center" vertical="center" wrapText="1"/>
    </xf>
    <xf numFmtId="2" fontId="11" fillId="9"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13"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2" fontId="0" fillId="9" borderId="1" xfId="0" applyNumberFormat="1" applyFill="1" applyBorder="1" applyAlignment="1">
      <alignment horizontal="center" vertical="center" wrapText="1"/>
    </xf>
    <xf numFmtId="164" fontId="0" fillId="9" borderId="1" xfId="0" applyNumberFormat="1" applyFill="1" applyBorder="1" applyAlignment="1">
      <alignment horizontal="center" vertical="center" wrapText="1"/>
    </xf>
    <xf numFmtId="165" fontId="0" fillId="0" borderId="1" xfId="0" applyNumberFormat="1" applyBorder="1" applyAlignment="1">
      <alignment horizontal="center" vertical="center" wrapText="1"/>
    </xf>
    <xf numFmtId="165" fontId="0" fillId="9" borderId="1" xfId="0" applyNumberFormat="1" applyFill="1" applyBorder="1" applyAlignment="1">
      <alignment horizontal="center" vertical="center" wrapText="1"/>
    </xf>
    <xf numFmtId="3" fontId="16" fillId="15" borderId="5" xfId="0" applyNumberFormat="1" applyFont="1" applyFill="1" applyBorder="1" applyAlignment="1">
      <alignment horizontal="center" vertical="center"/>
    </xf>
    <xf numFmtId="165" fontId="16" fillId="15" borderId="5" xfId="0" applyNumberFormat="1" applyFont="1" applyFill="1" applyBorder="1" applyAlignment="1">
      <alignment horizontal="center" vertical="center"/>
    </xf>
    <xf numFmtId="0" fontId="16" fillId="15" borderId="5" xfId="0" applyFont="1" applyFill="1" applyBorder="1" applyAlignment="1">
      <alignment horizontal="center" vertical="center"/>
    </xf>
    <xf numFmtId="164" fontId="16" fillId="15" borderId="5" xfId="0" applyNumberFormat="1" applyFont="1" applyFill="1" applyBorder="1" applyAlignment="1">
      <alignment horizontal="center" vertical="center"/>
    </xf>
    <xf numFmtId="3" fontId="16" fillId="0" borderId="5" xfId="0" applyNumberFormat="1" applyFont="1" applyBorder="1" applyAlignment="1">
      <alignment horizontal="center" vertical="center"/>
    </xf>
    <xf numFmtId="165" fontId="16" fillId="0" borderId="5" xfId="0" applyNumberFormat="1" applyFont="1" applyBorder="1" applyAlignment="1">
      <alignment horizontal="center" vertical="center"/>
    </xf>
    <xf numFmtId="0" fontId="16" fillId="0" borderId="5" xfId="0" applyFont="1" applyBorder="1" applyAlignment="1">
      <alignment horizontal="center" vertical="center"/>
    </xf>
    <xf numFmtId="164" fontId="16" fillId="0" borderId="5" xfId="0" applyNumberFormat="1" applyFont="1" applyBorder="1" applyAlignment="1">
      <alignment horizontal="center" vertical="center"/>
    </xf>
    <xf numFmtId="0" fontId="15" fillId="14" borderId="6" xfId="0" applyFont="1" applyFill="1" applyBorder="1" applyAlignment="1">
      <alignment horizontal="center" vertical="center" wrapText="1"/>
    </xf>
    <xf numFmtId="0" fontId="15" fillId="18" borderId="6" xfId="0" applyFont="1" applyFill="1" applyBorder="1" applyAlignment="1">
      <alignment horizontal="left" vertical="center" wrapText="1"/>
    </xf>
    <xf numFmtId="3" fontId="20" fillId="0" borderId="6" xfId="0" applyNumberFormat="1" applyFont="1" applyBorder="1" applyAlignment="1">
      <alignment horizontal="center" vertical="center" wrapText="1"/>
    </xf>
    <xf numFmtId="2" fontId="20" fillId="0" borderId="6" xfId="0" applyNumberFormat="1" applyFont="1" applyBorder="1" applyAlignment="1">
      <alignment horizontal="center" vertical="center" wrapText="1"/>
    </xf>
    <xf numFmtId="164" fontId="20" fillId="0" borderId="6" xfId="0" applyNumberFormat="1" applyFont="1" applyBorder="1" applyAlignment="1">
      <alignment horizontal="center" vertical="center" wrapText="1"/>
    </xf>
    <xf numFmtId="0" fontId="15" fillId="22" borderId="6" xfId="0" applyFont="1" applyFill="1" applyBorder="1" applyAlignment="1">
      <alignment horizontal="left" vertical="center" wrapText="1"/>
    </xf>
    <xf numFmtId="165" fontId="20" fillId="0" borderId="6" xfId="0" applyNumberFormat="1" applyFont="1" applyBorder="1" applyAlignment="1">
      <alignment horizontal="center" vertical="center" wrapText="1"/>
    </xf>
    <xf numFmtId="0" fontId="15" fillId="19" borderId="6" xfId="0" applyFont="1" applyFill="1" applyBorder="1" applyAlignment="1">
      <alignment horizontal="left" vertical="center" wrapText="1"/>
    </xf>
    <xf numFmtId="3" fontId="20" fillId="15" borderId="6" xfId="0" applyNumberFormat="1" applyFont="1" applyFill="1" applyBorder="1" applyAlignment="1">
      <alignment horizontal="center" vertical="center" wrapText="1"/>
    </xf>
    <xf numFmtId="2" fontId="20" fillId="15" borderId="6" xfId="0" applyNumberFormat="1" applyFont="1" applyFill="1" applyBorder="1" applyAlignment="1">
      <alignment horizontal="center" vertical="center" wrapText="1"/>
    </xf>
    <xf numFmtId="164" fontId="20" fillId="15" borderId="6" xfId="0" applyNumberFormat="1" applyFont="1" applyFill="1" applyBorder="1" applyAlignment="1">
      <alignment horizontal="center" vertical="center" wrapText="1"/>
    </xf>
    <xf numFmtId="0" fontId="15" fillId="23" borderId="6" xfId="0" applyFont="1" applyFill="1" applyBorder="1" applyAlignment="1">
      <alignment horizontal="left" vertical="center" wrapText="1"/>
    </xf>
    <xf numFmtId="165" fontId="20" fillId="15" borderId="6" xfId="0" applyNumberFormat="1" applyFont="1" applyFill="1" applyBorder="1" applyAlignment="1">
      <alignment horizontal="center" vertical="center" wrapText="1"/>
    </xf>
    <xf numFmtId="0" fontId="15" fillId="20" borderId="6" xfId="0" applyFont="1" applyFill="1" applyBorder="1" applyAlignment="1">
      <alignment horizontal="left" vertical="center" wrapText="1"/>
    </xf>
    <xf numFmtId="0" fontId="15" fillId="24" borderId="6" xfId="0" applyFont="1" applyFill="1" applyBorder="1" applyAlignment="1">
      <alignment horizontal="left" vertical="center" wrapText="1"/>
    </xf>
    <xf numFmtId="0" fontId="15" fillId="14" borderId="6" xfId="0" applyFont="1" applyFill="1" applyBorder="1" applyAlignment="1">
      <alignment horizontal="left" vertical="center" wrapText="1"/>
    </xf>
    <xf numFmtId="0" fontId="15" fillId="25" borderId="6" xfId="0" applyFont="1" applyFill="1" applyBorder="1" applyAlignment="1">
      <alignment horizontal="left" vertical="center" wrapText="1"/>
    </xf>
    <xf numFmtId="0" fontId="15" fillId="26" borderId="6" xfId="0" applyFont="1" applyFill="1" applyBorder="1" applyAlignment="1">
      <alignment horizontal="center" vertical="center" wrapText="1"/>
    </xf>
    <xf numFmtId="0" fontId="15" fillId="15" borderId="6" xfId="0" applyFont="1" applyFill="1" applyBorder="1" applyAlignment="1">
      <alignment horizontal="center" vertical="center" wrapText="1"/>
    </xf>
    <xf numFmtId="0" fontId="15" fillId="27" borderId="6" xfId="0" applyFont="1" applyFill="1" applyBorder="1" applyAlignment="1">
      <alignment horizontal="center" vertical="center" wrapText="1"/>
    </xf>
    <xf numFmtId="0" fontId="15" fillId="28" borderId="6" xfId="0" applyFont="1" applyFill="1" applyBorder="1" applyAlignment="1">
      <alignment horizontal="center" vertical="center" wrapText="1"/>
    </xf>
    <xf numFmtId="0" fontId="0" fillId="0" borderId="6" xfId="0" applyBorder="1"/>
    <xf numFmtId="3" fontId="15" fillId="14" borderId="6" xfId="0" applyNumberFormat="1" applyFont="1" applyFill="1" applyBorder="1" applyAlignment="1">
      <alignment horizontal="center" vertical="center" wrapText="1"/>
    </xf>
    <xf numFmtId="0" fontId="11" fillId="9" borderId="4" xfId="0" applyFont="1" applyFill="1" applyBorder="1" applyAlignment="1">
      <alignment horizontal="left" vertical="center" wrapText="1"/>
    </xf>
    <xf numFmtId="0" fontId="11" fillId="0" borderId="4" xfId="0" applyFont="1" applyBorder="1" applyAlignment="1">
      <alignment horizontal="left" vertical="center" wrapText="1"/>
    </xf>
    <xf numFmtId="0" fontId="11" fillId="9"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11" fillId="9" borderId="3" xfId="0" applyFont="1" applyFill="1" applyBorder="1" applyAlignment="1">
      <alignment horizontal="left" vertical="center" wrapText="1"/>
    </xf>
    <xf numFmtId="3" fontId="11" fillId="9" borderId="10" xfId="0" applyNumberFormat="1" applyFont="1" applyFill="1" applyBorder="1" applyAlignment="1">
      <alignment horizontal="center" vertical="center" wrapText="1"/>
    </xf>
    <xf numFmtId="165" fontId="11" fillId="9" borderId="10" xfId="0" applyNumberFormat="1" applyFont="1" applyFill="1" applyBorder="1" applyAlignment="1">
      <alignment horizontal="center" vertical="center" wrapText="1"/>
    </xf>
    <xf numFmtId="0" fontId="11" fillId="9" borderId="10" xfId="0" applyFont="1" applyFill="1" applyBorder="1" applyAlignment="1">
      <alignment horizontal="center" vertical="center" wrapText="1"/>
    </xf>
    <xf numFmtId="164" fontId="11" fillId="9" borderId="10" xfId="0" applyNumberFormat="1" applyFont="1" applyFill="1" applyBorder="1" applyAlignment="1">
      <alignment horizontal="center" vertical="center" wrapText="1"/>
    </xf>
    <xf numFmtId="0" fontId="11" fillId="9" borderId="11" xfId="0" applyFont="1" applyFill="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0" fontId="16" fillId="15" borderId="4" xfId="0" applyFont="1" applyFill="1" applyBorder="1" applyAlignment="1">
      <alignment horizontal="left" vertical="center"/>
    </xf>
    <xf numFmtId="0" fontId="16" fillId="0" borderId="4" xfId="0" applyFont="1" applyBorder="1" applyAlignment="1">
      <alignment horizontal="left" vertical="center"/>
    </xf>
    <xf numFmtId="0" fontId="16" fillId="15" borderId="2" xfId="0" applyFont="1" applyFill="1" applyBorder="1" applyAlignment="1">
      <alignment horizontal="center" vertical="center"/>
    </xf>
    <xf numFmtId="0" fontId="16" fillId="0" borderId="2" xfId="0" applyFont="1" applyBorder="1" applyAlignment="1">
      <alignment horizontal="center" vertical="center"/>
    </xf>
    <xf numFmtId="0" fontId="15" fillId="14" borderId="7" xfId="0" applyFont="1" applyFill="1" applyBorder="1" applyAlignment="1">
      <alignment horizontal="center" vertical="center"/>
    </xf>
    <xf numFmtId="0" fontId="15" fillId="14" borderId="8" xfId="0" applyFont="1" applyFill="1" applyBorder="1" applyAlignment="1">
      <alignment horizontal="center" vertical="center"/>
    </xf>
    <xf numFmtId="0" fontId="15" fillId="14" borderId="9" xfId="0" applyFont="1" applyFill="1" applyBorder="1" applyAlignment="1">
      <alignment horizontal="center" vertical="center"/>
    </xf>
    <xf numFmtId="0" fontId="16" fillId="15" borderId="3" xfId="0" applyFont="1" applyFill="1" applyBorder="1" applyAlignment="1">
      <alignment horizontal="left" vertical="center"/>
    </xf>
    <xf numFmtId="3" fontId="16" fillId="15" borderId="10" xfId="0" applyNumberFormat="1" applyFont="1" applyFill="1" applyBorder="1" applyAlignment="1">
      <alignment horizontal="center" vertical="center"/>
    </xf>
    <xf numFmtId="165" fontId="16" fillId="15" borderId="10" xfId="0" applyNumberFormat="1" applyFont="1" applyFill="1" applyBorder="1" applyAlignment="1">
      <alignment horizontal="center" vertical="center"/>
    </xf>
    <xf numFmtId="0" fontId="16" fillId="15" borderId="10" xfId="0" applyFont="1" applyFill="1" applyBorder="1" applyAlignment="1">
      <alignment horizontal="center" vertical="center"/>
    </xf>
    <xf numFmtId="164" fontId="16" fillId="15" borderId="10" xfId="0" applyNumberFormat="1" applyFont="1" applyFill="1" applyBorder="1" applyAlignment="1">
      <alignment horizontal="center" vertical="center"/>
    </xf>
    <xf numFmtId="0" fontId="16" fillId="15" borderId="11" xfId="0" applyFont="1" applyFill="1" applyBorder="1" applyAlignment="1">
      <alignment horizontal="center" vertical="center"/>
    </xf>
    <xf numFmtId="2" fontId="0" fillId="0" borderId="0" xfId="0" applyNumberFormat="1"/>
    <xf numFmtId="164" fontId="0" fillId="0" borderId="0" xfId="0" applyNumberFormat="1"/>
    <xf numFmtId="165" fontId="0" fillId="0" borderId="0" xfId="0" applyNumberFormat="1"/>
    <xf numFmtId="9" fontId="0" fillId="0" borderId="0" xfId="0" applyNumberFormat="1"/>
    <xf numFmtId="0" fontId="21" fillId="0" borderId="0" xfId="0" applyFont="1"/>
    <xf numFmtId="0" fontId="21" fillId="0" borderId="0" xfId="0" applyFont="1" applyAlignment="1">
      <alignment wrapText="1"/>
    </xf>
    <xf numFmtId="49" fontId="0" fillId="0" borderId="0" xfId="0" applyNumberFormat="1"/>
    <xf numFmtId="0" fontId="0" fillId="0" borderId="0" xfId="0" applyAlignment="1">
      <alignment wrapText="1"/>
    </xf>
    <xf numFmtId="0" fontId="10" fillId="0" borderId="0" xfId="0" applyFont="1" applyAlignment="1">
      <alignment horizontal="center" vertical="center" wrapText="1"/>
    </xf>
    <xf numFmtId="0" fontId="0" fillId="0" borderId="0" xfId="0"/>
    <xf numFmtId="0" fontId="0" fillId="2" borderId="0" xfId="0" applyFill="1" applyAlignment="1">
      <alignment horizontal="center" vertical="center"/>
    </xf>
    <xf numFmtId="3" fontId="4" fillId="6" borderId="0" xfId="0" applyNumberFormat="1" applyFont="1" applyFill="1" applyAlignment="1">
      <alignment horizontal="center" vertical="center"/>
    </xf>
    <xf numFmtId="0" fontId="0" fillId="4" borderId="0" xfId="0" applyFill="1" applyAlignment="1">
      <alignment horizontal="center" vertical="center"/>
    </xf>
    <xf numFmtId="0" fontId="5" fillId="3"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0" fillId="3" borderId="0" xfId="0" applyFill="1" applyAlignment="1">
      <alignment horizontal="center" vertical="center"/>
    </xf>
    <xf numFmtId="164" fontId="4" fillId="4" borderId="0" xfId="0" applyNumberFormat="1" applyFont="1" applyFill="1" applyAlignment="1">
      <alignment horizontal="center" vertical="center"/>
    </xf>
    <xf numFmtId="0" fontId="6" fillId="5" borderId="12" xfId="0" applyFont="1" applyFill="1" applyBorder="1" applyAlignment="1">
      <alignment horizontal="center" vertical="center" wrapText="1"/>
    </xf>
    <xf numFmtId="0" fontId="1" fillId="2" borderId="0" xfId="0" applyFont="1" applyFill="1" applyAlignment="1">
      <alignment horizontal="center" vertical="center"/>
    </xf>
    <xf numFmtId="0" fontId="5" fillId="4" borderId="0" xfId="0" applyFont="1" applyFill="1" applyAlignment="1">
      <alignment horizontal="center" vertical="center"/>
    </xf>
    <xf numFmtId="3" fontId="4" fillId="2" borderId="0" xfId="0" applyNumberFormat="1" applyFont="1" applyFill="1" applyAlignment="1">
      <alignment horizontal="center" vertical="center"/>
    </xf>
    <xf numFmtId="3" fontId="4" fillId="3" borderId="0" xfId="0" applyNumberFormat="1" applyFont="1" applyFill="1" applyAlignment="1">
      <alignment horizontal="center" vertical="center"/>
    </xf>
    <xf numFmtId="2" fontId="4" fillId="5" borderId="0" xfId="0" applyNumberFormat="1" applyFont="1" applyFill="1" applyAlignment="1">
      <alignment horizontal="center" vertical="center"/>
    </xf>
    <xf numFmtId="0" fontId="0" fillId="7" borderId="0" xfId="0"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3" borderId="0" xfId="0" applyFont="1" applyFill="1" applyAlignment="1">
      <alignment horizontal="center" vertical="center"/>
    </xf>
    <xf numFmtId="0" fontId="0" fillId="5" borderId="0" xfId="0" applyFill="1" applyAlignment="1">
      <alignment horizontal="center" vertical="center"/>
    </xf>
    <xf numFmtId="3" fontId="4" fillId="7" borderId="0" xfId="0" applyNumberFormat="1" applyFont="1" applyFill="1" applyAlignment="1">
      <alignment horizontal="center" vertical="center"/>
    </xf>
    <xf numFmtId="0" fontId="0" fillId="6" borderId="0" xfId="0" applyFill="1" applyAlignment="1">
      <alignment horizontal="center" vertical="center"/>
    </xf>
    <xf numFmtId="0" fontId="3" fillId="2" borderId="0" xfId="0" applyFont="1" applyFill="1" applyAlignment="1">
      <alignment horizontal="center" vertical="center"/>
    </xf>
    <xf numFmtId="0" fontId="6" fillId="2" borderId="12" xfId="0" applyFont="1" applyFill="1" applyBorder="1" applyAlignment="1">
      <alignment horizontal="center" vertical="center" wrapText="1"/>
    </xf>
    <xf numFmtId="0" fontId="3" fillId="4" borderId="0" xfId="0" applyFont="1" applyFill="1" applyAlignment="1">
      <alignment horizontal="center" vertical="center"/>
    </xf>
    <xf numFmtId="0" fontId="2" fillId="2" borderId="0" xfId="0" applyFont="1" applyFill="1" applyAlignment="1">
      <alignment horizontal="center" vertical="center"/>
    </xf>
    <xf numFmtId="0" fontId="5" fillId="7" borderId="0" xfId="0" applyFont="1" applyFill="1" applyAlignment="1">
      <alignment horizontal="center" vertical="center"/>
    </xf>
    <xf numFmtId="0" fontId="5" fillId="2" borderId="0" xfId="0" applyFont="1" applyFill="1" applyAlignment="1">
      <alignment horizontal="center" vertical="center"/>
    </xf>
    <xf numFmtId="0" fontId="3" fillId="5" borderId="0" xfId="0" applyFont="1" applyFill="1" applyAlignment="1">
      <alignment horizontal="center" vertical="center"/>
    </xf>
    <xf numFmtId="0" fontId="6" fillId="3" borderId="12"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17" fillId="14" borderId="0" xfId="0" applyFont="1" applyFill="1" applyAlignment="1">
      <alignment horizontal="center" vertical="center" wrapText="1"/>
    </xf>
    <xf numFmtId="0" fontId="19" fillId="20" borderId="13" xfId="0" applyFont="1" applyFill="1" applyBorder="1" applyAlignment="1">
      <alignment horizontal="center" vertical="center" wrapText="1"/>
    </xf>
    <xf numFmtId="0" fontId="19" fillId="29" borderId="13" xfId="0" applyFont="1" applyFill="1" applyBorder="1" applyAlignment="1">
      <alignment horizontal="center" vertical="center" wrapText="1"/>
    </xf>
    <xf numFmtId="0" fontId="18" fillId="16" borderId="0" xfId="0" applyFont="1" applyFill="1" applyAlignment="1">
      <alignment horizontal="center" vertical="center" wrapText="1"/>
    </xf>
    <xf numFmtId="0" fontId="19" fillId="21" borderId="0" xfId="0" applyFont="1" applyFill="1" applyAlignment="1">
      <alignment horizontal="center" vertical="center" wrapText="1"/>
    </xf>
    <xf numFmtId="0" fontId="19" fillId="17" borderId="0" xfId="0" applyFont="1" applyFill="1" applyAlignment="1">
      <alignment horizontal="center" vertical="center" wrapText="1"/>
    </xf>
    <xf numFmtId="0" fontId="12" fillId="3" borderId="0" xfId="0" applyFont="1" applyFill="1" applyAlignment="1">
      <alignment horizontal="center" vertical="center" wrapText="1"/>
    </xf>
    <xf numFmtId="0" fontId="12" fillId="3" borderId="12"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5" borderId="0" xfId="0" applyFont="1" applyFill="1" applyAlignment="1">
      <alignment horizontal="center" vertical="center" wrapText="1"/>
    </xf>
  </cellXfs>
  <cellStyles count="1">
    <cellStyle name="Normal" xfId="0" builtinId="0"/>
  </cellStyles>
  <dxfs count="40">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164" formatCode="0.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165" formatCode="0.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3" formatCode="#,##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3" formatCode="#,##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3" formatCode="#,##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left"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scheme val="none"/>
      </font>
      <fill>
        <patternFill patternType="solid">
          <fgColor indexed="64"/>
          <bgColor rgb="FF1A237E"/>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164" formatCode="0.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165" formatCode="0.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left"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Calibri"/>
        <charset val="1"/>
        <scheme val="none"/>
      </font>
      <fill>
        <patternFill patternType="solid">
          <fgColor rgb="FF000080"/>
          <bgColor rgb="FF1A237E"/>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s>
  <tableStyles count="0" defaultTableStyle="TableStyleMedium2" defaultPivotStyle="PivotStyleLight16"/>
  <colors>
    <indexedColors>
      <rgbColor rgb="FF000000"/>
      <rgbColor rgb="FFFFFFFF"/>
      <rgbColor rgb="FFE53935"/>
      <rgbColor rgb="FF00FF00"/>
      <rgbColor rgb="FF0000FF"/>
      <rgbColor rgb="FFFFFF00"/>
      <rgbColor rgb="FFFF00FF"/>
      <rgbColor rgb="FF00FFFF"/>
      <rgbColor rgb="FF800000"/>
      <rgbColor rgb="FF2E7D32"/>
      <rgbColor rgb="FF000080"/>
      <rgbColor rgb="FF777777"/>
      <rgbColor rgb="FF800080"/>
      <rgbColor rgb="FF008080"/>
      <rgbColor rgb="FFBBBBBB"/>
      <rgbColor rgb="FF878787"/>
      <rgbColor rgb="FF9999FF"/>
      <rgbColor rgb="FF9C27B0"/>
      <rgbColor rgb="FFF9F9F9"/>
      <rgbColor rgb="FFE8EAF6"/>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D9D9D9"/>
      <rgbColor rgb="FF4F81BD"/>
      <rgbColor rgb="FF33CCCC"/>
      <rgbColor rgb="FF9BBB59"/>
      <rgbColor rgb="FFF9A825"/>
      <rgbColor rgb="FFFB8C00"/>
      <rgbColor rgb="FFFF6F00"/>
      <rgbColor rgb="FF5C6BC0"/>
      <rgbColor rgb="FF9E9E9E"/>
      <rgbColor rgb="FF1A237E"/>
      <rgbColor rgb="FF43A047"/>
      <rgbColor rgb="FF003300"/>
      <rgbColor rgb="FF555555"/>
      <rgbColor rgb="FFC62828"/>
      <rgbColor rgb="FFC0504D"/>
      <rgbColor rgb="FF3949AB"/>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Products by Rating Category</a:t>
            </a:r>
          </a:p>
        </c:rich>
      </c:tx>
      <c:overlay val="0"/>
      <c:spPr>
        <a:noFill/>
        <a:ln w="0">
          <a:noFill/>
          <a:prstDash val="solid"/>
        </a:ln>
      </c:spPr>
    </c:title>
    <c:autoTitleDeleted val="0"/>
    <c:plotArea>
      <c:layout/>
      <c:barChart>
        <c:barDir val="col"/>
        <c:grouping val="clustered"/>
        <c:varyColors val="0"/>
        <c:ser>
          <c:idx val="0"/>
          <c:order val="0"/>
          <c:spPr>
            <a:solidFill>
              <a:srgbClr val="3949AB"/>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 Data'!$A$9:$A$12</c:f>
              <c:strCache>
                <c:ptCount val="4"/>
                <c:pt idx="0">
                  <c:v>Excellent</c:v>
                </c:pt>
                <c:pt idx="1">
                  <c:v>Average</c:v>
                </c:pt>
                <c:pt idx="2">
                  <c:v>Poor</c:v>
                </c:pt>
                <c:pt idx="3">
                  <c:v>N/A</c:v>
                </c:pt>
              </c:strCache>
            </c:strRef>
          </c:cat>
          <c:val>
            <c:numRef>
              <c:f>'Pivot Data'!$B$9:$B$12</c:f>
              <c:numCache>
                <c:formatCode>#,##0</c:formatCode>
                <c:ptCount val="4"/>
                <c:pt idx="0">
                  <c:v>22</c:v>
                </c:pt>
                <c:pt idx="1">
                  <c:v>22</c:v>
                </c:pt>
                <c:pt idx="2">
                  <c:v>12</c:v>
                </c:pt>
                <c:pt idx="3">
                  <c:v>55</c:v>
                </c:pt>
              </c:numCache>
            </c:numRef>
          </c:val>
          <c:extLst>
            <c:ext xmlns:c16="http://schemas.microsoft.com/office/drawing/2014/chart" uri="{C3380CC4-5D6E-409C-BE32-E72D297353CC}">
              <c16:uniqueId val="{00000000-11A3-4E0B-A831-55BE8C30D822}"/>
            </c:ext>
          </c:extLst>
        </c:ser>
        <c:dLbls>
          <c:showLegendKey val="0"/>
          <c:showVal val="0"/>
          <c:showCatName val="0"/>
          <c:showSerName val="0"/>
          <c:showPercent val="0"/>
          <c:showBubbleSize val="0"/>
        </c:dLbls>
        <c:gapWidth val="150"/>
        <c:axId val="94543470"/>
        <c:axId val="94659359"/>
      </c:barChart>
      <c:catAx>
        <c:axId val="94543470"/>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94659359"/>
        <c:crosses val="autoZero"/>
        <c:auto val="1"/>
        <c:lblAlgn val="ctr"/>
        <c:lblOffset val="100"/>
        <c:noMultiLvlLbl val="0"/>
      </c:catAx>
      <c:valAx>
        <c:axId val="94659359"/>
        <c:scaling>
          <c:orientation val="minMax"/>
        </c:scaling>
        <c:delete val="0"/>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prstDash val="solid"/>
            </a:ln>
          </c:spPr>
        </c:title>
        <c:numFmt formatCode="#,##0"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94543470"/>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Products by Discount Category</a:t>
            </a:r>
          </a:p>
        </c:rich>
      </c:tx>
      <c:layout>
        <c:manualLayout>
          <c:xMode val="edge"/>
          <c:yMode val="edge"/>
          <c:x val="0.20817224831874556"/>
          <c:y val="2.4851283656856606E-2"/>
        </c:manualLayout>
      </c:layout>
      <c:overlay val="0"/>
      <c:spPr>
        <a:noFill/>
        <a:ln w="0">
          <a:noFill/>
          <a:prstDash val="solid"/>
        </a:ln>
      </c:spPr>
    </c:title>
    <c:autoTitleDeleted val="0"/>
    <c:plotArea>
      <c:layout/>
      <c:pieChart>
        <c:varyColors val="1"/>
        <c:ser>
          <c:idx val="0"/>
          <c:order val="0"/>
          <c:spPr>
            <a:solidFill>
              <a:srgbClr val="4F81BD"/>
            </a:solidFill>
            <a:ln w="9360">
              <a:solidFill>
                <a:srgbClr val="F9F9F9"/>
              </a:solidFill>
              <a:prstDash val="solid"/>
              <a:round/>
            </a:ln>
          </c:spPr>
          <c:dPt>
            <c:idx val="0"/>
            <c:bubble3D val="0"/>
            <c:extLst>
              <c:ext xmlns:c16="http://schemas.microsoft.com/office/drawing/2014/chart" uri="{C3380CC4-5D6E-409C-BE32-E72D297353CC}">
                <c16:uniqueId val="{00000001-6F11-404F-B6B3-146C68161C33}"/>
              </c:ext>
            </c:extLst>
          </c:dPt>
          <c:dPt>
            <c:idx val="1"/>
            <c:bubble3D val="0"/>
            <c:spPr>
              <a:solidFill>
                <a:srgbClr val="C0504D"/>
              </a:solidFill>
              <a:ln w="9360">
                <a:solidFill>
                  <a:srgbClr val="F9F9F9"/>
                </a:solidFill>
                <a:prstDash val="solid"/>
                <a:round/>
              </a:ln>
            </c:spPr>
            <c:extLst>
              <c:ext xmlns:c16="http://schemas.microsoft.com/office/drawing/2014/chart" uri="{C3380CC4-5D6E-409C-BE32-E72D297353CC}">
                <c16:uniqueId val="{00000003-6F11-404F-B6B3-146C68161C33}"/>
              </c:ext>
            </c:extLst>
          </c:dPt>
          <c:dPt>
            <c:idx val="2"/>
            <c:bubble3D val="0"/>
            <c:spPr>
              <a:solidFill>
                <a:srgbClr val="9BBB59"/>
              </a:solidFill>
              <a:ln w="9360">
                <a:solidFill>
                  <a:srgbClr val="F9F9F9"/>
                </a:solidFill>
                <a:prstDash val="solid"/>
                <a:round/>
              </a:ln>
            </c:spPr>
            <c:extLst>
              <c:ext xmlns:c16="http://schemas.microsoft.com/office/drawing/2014/chart" uri="{C3380CC4-5D6E-409C-BE32-E72D297353CC}">
                <c16:uniqueId val="{00000005-6F11-404F-B6B3-146C68161C33}"/>
              </c:ext>
            </c:extLst>
          </c:dPt>
          <c:dLbls>
            <c:dLbl>
              <c:idx val="0"/>
              <c:spPr/>
              <c:txPr>
                <a:bodyPr/>
                <a:lstStyle/>
                <a:p>
                  <a:pPr>
                    <a:defRPr sz="1000" b="0" strike="noStrike" spc="-1">
                      <a:latin typeface="Arial"/>
                    </a:defRPr>
                  </a:pPr>
                  <a:endParaRPr lang="en-KE"/>
                </a:p>
              </c:txPr>
              <c:showLegendKey val="0"/>
              <c:showVal val="0"/>
              <c:showCatName val="0"/>
              <c:showSerName val="0"/>
              <c:showPercent val="0"/>
              <c:showBubbleSize val="1"/>
              <c:extLst>
                <c:ext xmlns:c16="http://schemas.microsoft.com/office/drawing/2014/chart" uri="{C3380CC4-5D6E-409C-BE32-E72D297353CC}">
                  <c16:uniqueId val="{00000001-6F11-404F-B6B3-146C68161C33}"/>
                </c:ext>
              </c:extLst>
            </c:dLbl>
            <c:dLbl>
              <c:idx val="1"/>
              <c:spPr/>
              <c:txPr>
                <a:bodyPr/>
                <a:lstStyle/>
                <a:p>
                  <a:pPr>
                    <a:defRPr sz="1000" b="0" strike="noStrike" spc="-1">
                      <a:latin typeface="Arial"/>
                    </a:defRPr>
                  </a:pPr>
                  <a:endParaRPr lang="en-KE"/>
                </a:p>
              </c:txPr>
              <c:showLegendKey val="0"/>
              <c:showVal val="0"/>
              <c:showCatName val="0"/>
              <c:showSerName val="0"/>
              <c:showPercent val="0"/>
              <c:showBubbleSize val="1"/>
              <c:extLst>
                <c:ext xmlns:c16="http://schemas.microsoft.com/office/drawing/2014/chart" uri="{C3380CC4-5D6E-409C-BE32-E72D297353CC}">
                  <c16:uniqueId val="{00000003-6F11-404F-B6B3-146C68161C33}"/>
                </c:ext>
              </c:extLst>
            </c:dLbl>
            <c:dLbl>
              <c:idx val="2"/>
              <c:spPr/>
              <c:txPr>
                <a:bodyPr/>
                <a:lstStyle/>
                <a:p>
                  <a:pPr>
                    <a:defRPr sz="1000" b="0" strike="noStrike" spc="-1">
                      <a:latin typeface="Arial"/>
                    </a:defRPr>
                  </a:pPr>
                  <a:endParaRPr lang="en-KE"/>
                </a:p>
              </c:txPr>
              <c:showLegendKey val="0"/>
              <c:showVal val="0"/>
              <c:showCatName val="0"/>
              <c:showSerName val="0"/>
              <c:showPercent val="0"/>
              <c:showBubbleSize val="1"/>
              <c:extLst>
                <c:ext xmlns:c16="http://schemas.microsoft.com/office/drawing/2014/chart" uri="{C3380CC4-5D6E-409C-BE32-E72D297353CC}">
                  <c16:uniqueId val="{00000005-6F11-404F-B6B3-146C68161C33}"/>
                </c:ext>
              </c:extLst>
            </c:dLbl>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1"/>
            <c:extLst>
              <c:ext xmlns:c15="http://schemas.microsoft.com/office/drawing/2012/chart" uri="{CE6537A1-D6FC-4f65-9D91-7224C49458BB}"/>
            </c:extLst>
          </c:dLbls>
          <c:cat>
            <c:strRef>
              <c:f>'Pivot Data'!$A$3:$A$5</c:f>
              <c:strCache>
                <c:ptCount val="3"/>
                <c:pt idx="0">
                  <c:v>High Discount</c:v>
                </c:pt>
                <c:pt idx="1">
                  <c:v>Medium Discount</c:v>
                </c:pt>
                <c:pt idx="2">
                  <c:v>Low Discount</c:v>
                </c:pt>
              </c:strCache>
            </c:strRef>
          </c:cat>
          <c:val>
            <c:numRef>
              <c:f>'Pivot Data'!$B$3:$B$5</c:f>
              <c:numCache>
                <c:formatCode>#,##0</c:formatCode>
                <c:ptCount val="3"/>
                <c:pt idx="0">
                  <c:v>62</c:v>
                </c:pt>
                <c:pt idx="1">
                  <c:v>31</c:v>
                </c:pt>
                <c:pt idx="2">
                  <c:v>18</c:v>
                </c:pt>
              </c:numCache>
            </c:numRef>
          </c:val>
          <c:extLst>
            <c:ext xmlns:c16="http://schemas.microsoft.com/office/drawing/2014/chart" uri="{C3380CC4-5D6E-409C-BE32-E72D297353CC}">
              <c16:uniqueId val="{00000006-6F11-404F-B6B3-146C68161C33}"/>
            </c:ext>
          </c:extLst>
        </c:ser>
        <c:dLbls>
          <c:showLegendKey val="0"/>
          <c:showVal val="0"/>
          <c:showCatName val="0"/>
          <c:showSerName val="0"/>
          <c:showPercent val="0"/>
          <c:showBubbleSize val="0"/>
          <c:showLeaderLines val="1"/>
        </c:dLbls>
        <c:firstSliceAng val="0"/>
      </c:pieChart>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Reviews by Discount Range</a:t>
            </a:r>
          </a:p>
        </c:rich>
      </c:tx>
      <c:layout>
        <c:manualLayout>
          <c:xMode val="edge"/>
          <c:yMode val="edge"/>
          <c:x val="0.16653699476064271"/>
          <c:y val="2.469691413585803E-2"/>
        </c:manualLayout>
      </c:layout>
      <c:overlay val="0"/>
      <c:spPr>
        <a:noFill/>
        <a:ln w="0">
          <a:noFill/>
          <a:prstDash val="solid"/>
        </a:ln>
      </c:spPr>
    </c:title>
    <c:autoTitleDeleted val="0"/>
    <c:plotArea>
      <c:layout/>
      <c:barChart>
        <c:barDir val="col"/>
        <c:grouping val="clustered"/>
        <c:varyColors val="0"/>
        <c:ser>
          <c:idx val="0"/>
          <c:order val="0"/>
          <c:spPr>
            <a:solidFill>
              <a:srgbClr val="FF6F00"/>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 Data'!$A$16:$A$20</c:f>
              <c:strCache>
                <c:ptCount val="5"/>
                <c:pt idx="0">
                  <c:v>&lt;20%</c:v>
                </c:pt>
                <c:pt idx="1">
                  <c:v>20-30%</c:v>
                </c:pt>
                <c:pt idx="2">
                  <c:v>30-40%</c:v>
                </c:pt>
                <c:pt idx="3">
                  <c:v>40-50%</c:v>
                </c:pt>
                <c:pt idx="4">
                  <c:v>&gt;50%</c:v>
                </c:pt>
              </c:strCache>
            </c:strRef>
          </c:cat>
          <c:val>
            <c:numRef>
              <c:f>'Pivot Data'!$C$16:$C$20</c:f>
              <c:numCache>
                <c:formatCode>0.0</c:formatCode>
                <c:ptCount val="5"/>
                <c:pt idx="0">
                  <c:v>9.5</c:v>
                </c:pt>
                <c:pt idx="1">
                  <c:v>18.545454545454547</c:v>
                </c:pt>
                <c:pt idx="2">
                  <c:v>13.181818181818182</c:v>
                </c:pt>
                <c:pt idx="3">
                  <c:v>13.157894736842104</c:v>
                </c:pt>
                <c:pt idx="4">
                  <c:v>7.6363636363636367</c:v>
                </c:pt>
              </c:numCache>
            </c:numRef>
          </c:val>
          <c:extLst>
            <c:ext xmlns:c16="http://schemas.microsoft.com/office/drawing/2014/chart" uri="{C3380CC4-5D6E-409C-BE32-E72D297353CC}">
              <c16:uniqueId val="{00000000-5657-466F-BB76-2C373DD89A42}"/>
            </c:ext>
          </c:extLst>
        </c:ser>
        <c:dLbls>
          <c:showLegendKey val="0"/>
          <c:showVal val="0"/>
          <c:showCatName val="0"/>
          <c:showSerName val="0"/>
          <c:showPercent val="0"/>
          <c:showBubbleSize val="0"/>
        </c:dLbls>
        <c:gapWidth val="150"/>
        <c:axId val="40513525"/>
        <c:axId val="18443764"/>
      </c:barChart>
      <c:catAx>
        <c:axId val="40513525"/>
        <c:scaling>
          <c:orientation val="minMax"/>
        </c:scaling>
        <c:delete val="0"/>
        <c:axPos val="b"/>
        <c:title>
          <c:tx>
            <c:rich>
              <a:bodyPr/>
              <a:lstStyle/>
              <a:p>
                <a:pPr>
                  <a:defRPr/>
                </a:pPr>
                <a:r>
                  <a:rPr lang="en-US"/>
                  <a:t>%Discount</a:t>
                </a:r>
                <a:r>
                  <a:rPr lang="en-US" baseline="0"/>
                  <a:t> Range</a:t>
                </a:r>
                <a:endParaRPr lang="en-US"/>
              </a:p>
            </c:rich>
          </c:tx>
          <c:overlay val="0"/>
        </c:title>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18443764"/>
        <c:crosses val="autoZero"/>
        <c:auto val="1"/>
        <c:lblAlgn val="ctr"/>
        <c:lblOffset val="100"/>
        <c:noMultiLvlLbl val="0"/>
      </c:catAx>
      <c:valAx>
        <c:axId val="18443764"/>
        <c:scaling>
          <c:orientation val="minMax"/>
        </c:scaling>
        <c:delete val="0"/>
        <c:axPos val="l"/>
        <c:majorGridlines>
          <c:spPr>
            <a:ln w="9360">
              <a:solidFill>
                <a:srgbClr val="878787"/>
              </a:solidFill>
              <a:prstDash val="solid"/>
              <a:round/>
            </a:ln>
          </c:spPr>
        </c:majorGridlines>
        <c:title>
          <c:tx>
            <c:rich>
              <a:bodyPr/>
              <a:lstStyle/>
              <a:p>
                <a:pPr>
                  <a:defRPr/>
                </a:pPr>
                <a:r>
                  <a:rPr lang="en-US" sz="1000" b="1" i="0" u="none" strike="noStrike" kern="1200" spc="-1" baseline="0">
                    <a:solidFill>
                      <a:srgbClr val="000000"/>
                    </a:solidFill>
                    <a:latin typeface="Calibri"/>
                  </a:rPr>
                  <a:t>Avg Reviews</a:t>
                </a:r>
              </a:p>
            </c:rich>
          </c:tx>
          <c:overlay val="0"/>
        </c:title>
        <c:numFmt formatCode="0.0"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40513525"/>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Rating by Discount Category</a:t>
            </a:r>
          </a:p>
        </c:rich>
      </c:tx>
      <c:layout>
        <c:manualLayout>
          <c:xMode val="edge"/>
          <c:yMode val="edge"/>
          <c:x val="0.15438019890314625"/>
          <c:y val="2.1168783545021167E-2"/>
        </c:manualLayout>
      </c:layout>
      <c:overlay val="0"/>
      <c:spPr>
        <a:noFill/>
        <a:ln w="0">
          <a:noFill/>
          <a:prstDash val="solid"/>
        </a:ln>
      </c:spPr>
    </c:title>
    <c:autoTitleDeleted val="0"/>
    <c:plotArea>
      <c:layout/>
      <c:barChart>
        <c:barDir val="bar"/>
        <c:grouping val="clustered"/>
        <c:varyColors val="0"/>
        <c:ser>
          <c:idx val="0"/>
          <c:order val="0"/>
          <c:spPr>
            <a:solidFill>
              <a:srgbClr val="2E7D32"/>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 Data'!$A$3:$A$5</c:f>
              <c:strCache>
                <c:ptCount val="3"/>
                <c:pt idx="0">
                  <c:v>High Discount</c:v>
                </c:pt>
                <c:pt idx="1">
                  <c:v>Medium Discount</c:v>
                </c:pt>
                <c:pt idx="2">
                  <c:v>Low Discount</c:v>
                </c:pt>
              </c:strCache>
            </c:strRef>
          </c:cat>
          <c:val>
            <c:numRef>
              <c:f>'Pivot Data'!$D$3:$D$5</c:f>
              <c:numCache>
                <c:formatCode>0.00</c:formatCode>
                <c:ptCount val="3"/>
                <c:pt idx="0">
                  <c:v>3.613333333333332</c:v>
                </c:pt>
                <c:pt idx="1">
                  <c:v>4.2681818181818176</c:v>
                </c:pt>
                <c:pt idx="2">
                  <c:v>3.7249999999999996</c:v>
                </c:pt>
              </c:numCache>
            </c:numRef>
          </c:val>
          <c:extLst>
            <c:ext xmlns:c16="http://schemas.microsoft.com/office/drawing/2014/chart" uri="{C3380CC4-5D6E-409C-BE32-E72D297353CC}">
              <c16:uniqueId val="{00000000-03F0-416F-871C-A280AE526C07}"/>
            </c:ext>
          </c:extLst>
        </c:ser>
        <c:dLbls>
          <c:showLegendKey val="0"/>
          <c:showVal val="0"/>
          <c:showCatName val="0"/>
          <c:showSerName val="0"/>
          <c:showPercent val="0"/>
          <c:showBubbleSize val="0"/>
        </c:dLbls>
        <c:gapWidth val="150"/>
        <c:axId val="55081780"/>
        <c:axId val="93771742"/>
      </c:barChart>
      <c:catAx>
        <c:axId val="55081780"/>
        <c:scaling>
          <c:orientation val="minMax"/>
        </c:scaling>
        <c:delete val="0"/>
        <c:axPos val="l"/>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93771742"/>
        <c:crosses val="autoZero"/>
        <c:auto val="1"/>
        <c:lblAlgn val="ctr"/>
        <c:lblOffset val="100"/>
        <c:noMultiLvlLbl val="0"/>
      </c:catAx>
      <c:valAx>
        <c:axId val="93771742"/>
        <c:scaling>
          <c:orientation val="minMax"/>
        </c:scaling>
        <c:delete val="0"/>
        <c:axPos val="b"/>
        <c:majorGridlines>
          <c:spPr>
            <a:ln w="9360">
              <a:solidFill>
                <a:srgbClr val="878787"/>
              </a:solidFill>
              <a:prstDash val="solid"/>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Avg Rating</a:t>
                </a:r>
              </a:p>
            </c:rich>
          </c:tx>
          <c:overlay val="0"/>
          <c:spPr>
            <a:noFill/>
            <a:ln w="0">
              <a:noFill/>
              <a:prstDash val="solid"/>
            </a:ln>
          </c:spPr>
        </c:title>
        <c:numFmt formatCode="0.00"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55081780"/>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 baseline="0">
                <a:solidFill>
                  <a:srgbClr val="000000"/>
                </a:solidFill>
                <a:latin typeface="Calibri"/>
              </a:rPr>
              <a:t>Rating by Discount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lineChart>
        <c:grouping val="standard"/>
        <c:varyColors val="0"/>
        <c:ser>
          <c:idx val="0"/>
          <c:order val="0"/>
          <c:tx>
            <c:strRef>
              <c:f>Dashboard!$J$18</c:f>
              <c:strCache>
                <c:ptCount val="1"/>
                <c:pt idx="0">
                  <c:v>Avg 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Dashboard!$G$19:$G$23</c:f>
              <c:strCache>
                <c:ptCount val="5"/>
                <c:pt idx="0">
                  <c:v>&lt;20%</c:v>
                </c:pt>
                <c:pt idx="1">
                  <c:v>20-30%</c:v>
                </c:pt>
                <c:pt idx="2">
                  <c:v>30-40%</c:v>
                </c:pt>
                <c:pt idx="3">
                  <c:v>40-50%</c:v>
                </c:pt>
                <c:pt idx="4">
                  <c:v>&gt;50%</c:v>
                </c:pt>
              </c:strCache>
            </c:strRef>
          </c:cat>
          <c:val>
            <c:numRef>
              <c:f>Dashboard!$J$19:$J$23</c:f>
              <c:numCache>
                <c:formatCode>0.00</c:formatCode>
                <c:ptCount val="5"/>
                <c:pt idx="0">
                  <c:v>3.7249999999999996</c:v>
                </c:pt>
                <c:pt idx="1">
                  <c:v>4.245454545454546</c:v>
                </c:pt>
                <c:pt idx="2">
                  <c:v>4.2909090909090901</c:v>
                </c:pt>
                <c:pt idx="3">
                  <c:v>3.6631578947368411</c:v>
                </c:pt>
                <c:pt idx="4">
                  <c:v>3.5272727272727278</c:v>
                </c:pt>
              </c:numCache>
            </c:numRef>
          </c:val>
          <c:smooth val="0"/>
          <c:extLst>
            <c:ext xmlns:c16="http://schemas.microsoft.com/office/drawing/2014/chart" uri="{C3380CC4-5D6E-409C-BE32-E72D297353CC}">
              <c16:uniqueId val="{00000000-A51E-4E07-94CE-A3F48330EC5A}"/>
            </c:ext>
          </c:extLst>
        </c:ser>
        <c:dLbls>
          <c:showLegendKey val="0"/>
          <c:showVal val="0"/>
          <c:showCatName val="0"/>
          <c:showSerName val="0"/>
          <c:showPercent val="0"/>
          <c:showBubbleSize val="0"/>
        </c:dLbls>
        <c:marker val="1"/>
        <c:smooth val="0"/>
        <c:axId val="1259628608"/>
        <c:axId val="1259623808"/>
      </c:lineChart>
      <c:catAx>
        <c:axId val="125962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Avg 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9623808"/>
        <c:crosses val="autoZero"/>
        <c:auto val="1"/>
        <c:lblAlgn val="ctr"/>
        <c:lblOffset val="100"/>
        <c:noMultiLvlLbl val="0"/>
      </c:catAx>
      <c:valAx>
        <c:axId val="125962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962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23</xdr:row>
      <xdr:rowOff>190500</xdr:rowOff>
    </xdr:from>
    <xdr:to>
      <xdr:col>5</xdr:col>
      <xdr:colOff>702120</xdr:colOff>
      <xdr:row>39</xdr:row>
      <xdr:rowOff>132540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xdr:colOff>
      <xdr:row>40</xdr:row>
      <xdr:rowOff>60960</xdr:rowOff>
    </xdr:from>
    <xdr:to>
      <xdr:col>5</xdr:col>
      <xdr:colOff>601980</xdr:colOff>
      <xdr:row>53</xdr:row>
      <xdr:rowOff>155400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784860</xdr:colOff>
      <xdr:row>23</xdr:row>
      <xdr:rowOff>198120</xdr:rowOff>
    </xdr:from>
    <xdr:to>
      <xdr:col>10</xdr:col>
      <xdr:colOff>69660</xdr:colOff>
      <xdr:row>39</xdr:row>
      <xdr:rowOff>140160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403860</xdr:colOff>
      <xdr:row>24</xdr:row>
      <xdr:rowOff>22860</xdr:rowOff>
    </xdr:from>
    <xdr:to>
      <xdr:col>16</xdr:col>
      <xdr:colOff>130620</xdr:colOff>
      <xdr:row>39</xdr:row>
      <xdr:rowOff>193500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883920</xdr:colOff>
      <xdr:row>40</xdr:row>
      <xdr:rowOff>160020</xdr:rowOff>
    </xdr:from>
    <xdr:to>
      <xdr:col>10</xdr:col>
      <xdr:colOff>83820</xdr:colOff>
      <xdr:row>53</xdr:row>
      <xdr:rowOff>121920</xdr:rowOff>
    </xdr:to>
    <xdr:graphicFrame macro="">
      <xdr:nvGraphicFramePr>
        <xdr:cNvPr id="8" name="Chart 7">
          <a:extLst>
            <a:ext uri="{FF2B5EF4-FFF2-40B4-BE49-F238E27FC236}">
              <a16:creationId xmlns:a16="http://schemas.microsoft.com/office/drawing/2014/main" id="{73F38392-C9C9-79D9-4A3C-0EB0A85EB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541020</xdr:colOff>
      <xdr:row>1</xdr:row>
      <xdr:rowOff>121920</xdr:rowOff>
    </xdr:from>
    <xdr:to>
      <xdr:col>7</xdr:col>
      <xdr:colOff>541020</xdr:colOff>
      <xdr:row>15</xdr:row>
      <xdr:rowOff>28575</xdr:rowOff>
    </xdr:to>
    <mc:AlternateContent xmlns:mc="http://schemas.openxmlformats.org/markup-compatibility/2006" xmlns:a14="http://schemas.microsoft.com/office/drawing/2010/main">
      <mc:Choice Requires="a14">
        <xdr:graphicFrame macro="">
          <xdr:nvGraphicFramePr>
            <xdr:cNvPr id="7" name="Discount Category">
              <a:extLst>
                <a:ext uri="{FF2B5EF4-FFF2-40B4-BE49-F238E27FC236}">
                  <a16:creationId xmlns:a16="http://schemas.microsoft.com/office/drawing/2014/main" id="{798854DD-573B-E586-1A84-BE989424A4BD}"/>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5097780" y="3048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457200</xdr:colOff>
      <xdr:row>1</xdr:row>
      <xdr:rowOff>38100</xdr:rowOff>
    </xdr:from>
    <xdr:to>
      <xdr:col>7</xdr:col>
      <xdr:colOff>457200</xdr:colOff>
      <xdr:row>14</xdr:row>
      <xdr:rowOff>127635</xdr:rowOff>
    </xdr:to>
    <mc:AlternateContent xmlns:mc="http://schemas.openxmlformats.org/markup-compatibility/2006" xmlns:a14="http://schemas.microsoft.com/office/drawing/2010/main">
      <mc:Choice Requires="a14">
        <xdr:graphicFrame macro="">
          <xdr:nvGraphicFramePr>
            <xdr:cNvPr id="2" name="Rating Category">
              <a:extLst>
                <a:ext uri="{FF2B5EF4-FFF2-40B4-BE49-F238E27FC236}">
                  <a16:creationId xmlns:a16="http://schemas.microsoft.com/office/drawing/2014/main" id="{70DCCF17-91F6-EBE2-0108-4EF2B2BB6CB8}"/>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4069080" y="2209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411480</xdr:colOff>
      <xdr:row>0</xdr:row>
      <xdr:rowOff>152400</xdr:rowOff>
    </xdr:from>
    <xdr:to>
      <xdr:col>7</xdr:col>
      <xdr:colOff>411480</xdr:colOff>
      <xdr:row>14</xdr:row>
      <xdr:rowOff>59055</xdr:rowOff>
    </xdr:to>
    <mc:AlternateContent xmlns:mc="http://schemas.openxmlformats.org/markup-compatibility/2006" xmlns:a14="http://schemas.microsoft.com/office/drawing/2010/main">
      <mc:Choice Requires="a14">
        <xdr:graphicFrame macro="">
          <xdr:nvGraphicFramePr>
            <xdr:cNvPr id="2" name="Discount Range">
              <a:extLst>
                <a:ext uri="{FF2B5EF4-FFF2-40B4-BE49-F238E27FC236}">
                  <a16:creationId xmlns:a16="http://schemas.microsoft.com/office/drawing/2014/main" id="{DA6A61BD-77B1-2602-0525-FAD167B09042}"/>
                </a:ext>
              </a:extLst>
            </xdr:cNvPr>
            <xdr:cNvGraphicFramePr/>
          </xdr:nvGraphicFramePr>
          <xdr:xfrm>
            <a:off x="0" y="0"/>
            <a:ext cx="0" cy="0"/>
          </xdr:xfrm>
          <a:graphic>
            <a:graphicData uri="http://schemas.microsoft.com/office/drawing/2010/slicer">
              <sle:slicer xmlns:sle="http://schemas.microsoft.com/office/drawing/2010/slicer" name="Discount Range"/>
            </a:graphicData>
          </a:graphic>
        </xdr:graphicFrame>
      </mc:Choice>
      <mc:Fallback xmlns="">
        <xdr:sp macro="" textlink="">
          <xdr:nvSpPr>
            <xdr:cNvPr id="0" name=""/>
            <xdr:cNvSpPr>
              <a:spLocks noTextEdit="1"/>
            </xdr:cNvSpPr>
          </xdr:nvSpPr>
          <xdr:spPr>
            <a:xfrm>
              <a:off x="4610100" y="1524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434840972222" createdVersion="8" refreshedVersion="8" minRefreshableVersion="3" recordCount="3" xr:uid="{7FEE5501-AAA1-4184-BD76-E9F09E5C5BA4}">
  <cacheSource type="worksheet">
    <worksheetSource ref="A2:E5" sheet="Pivot Data"/>
  </cacheSource>
  <cacheFields count="5">
    <cacheField name="Discount Category" numFmtId="0">
      <sharedItems count="3">
        <s v="High Discount"/>
        <s v="Medium Discount"/>
        <s v="Low Discount"/>
      </sharedItems>
    </cacheField>
    <cacheField name="# Products" numFmtId="3">
      <sharedItems containsSemiMixedTypes="0" containsString="0" containsNumber="1" containsInteger="1" minValue="18" maxValue="62" count="3">
        <n v="62"/>
        <n v="31"/>
        <n v="18"/>
      </sharedItems>
    </cacheField>
    <cacheField name="Avg Price" numFmtId="3">
      <sharedItems containsMixedTypes="1" containsNumber="1" minValue="1579.6451612903227" maxValue="1959.1666666666667" count="3">
        <b v="0"/>
        <n v="1579.6451612903227"/>
        <n v="1959.1666666666667"/>
      </sharedItems>
    </cacheField>
    <cacheField name="Avg Rating" numFmtId="2">
      <sharedItems containsSemiMixedTypes="0" containsString="0" containsNumber="1" minValue="3.613333333333332" maxValue="4.2681818181818176" count="3">
        <n v="3.613333333333332"/>
        <n v="4.2681818181818176"/>
        <n v="3.7249999999999996"/>
      </sharedItems>
    </cacheField>
    <cacheField name="Avg Reviews" numFmtId="164">
      <sharedItems containsSemiMixedTypes="0" containsString="0" containsNumber="1" minValue="9.5" maxValue="15.863636363636363" count="3">
        <n v="11.133333333333333"/>
        <n v="15.863636363636363"/>
        <n v="9.5"/>
      </sharedItems>
    </cacheField>
  </cacheFields>
  <extLst>
    <ext xmlns:x14="http://schemas.microsoft.com/office/spreadsheetml/2009/9/main" uri="{725AE2AE-9491-48be-B2B4-4EB974FC3084}">
      <x14:pivotCacheDefinition pivotCacheId="10936672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436832870371" createdVersion="8" refreshedVersion="8" minRefreshableVersion="3" recordCount="4" xr:uid="{4146AAE8-81FE-4017-80C3-D0C966927138}">
  <cacheSource type="worksheet">
    <worksheetSource ref="A8:E12" sheet="Pivot Data"/>
  </cacheSource>
  <cacheFields count="5">
    <cacheField name="Rating Category" numFmtId="0">
      <sharedItems count="4">
        <s v="Excellent"/>
        <s v="Average"/>
        <s v="Poor"/>
        <s v="N/A"/>
      </sharedItems>
    </cacheField>
    <cacheField name="# Products" numFmtId="3">
      <sharedItems containsSemiMixedTypes="0" containsString="0" containsNumber="1" containsInteger="1" minValue="12" maxValue="55"/>
    </cacheField>
    <cacheField name="Avg Price" numFmtId="3">
      <sharedItems containsSemiMixedTypes="0" containsString="0" containsNumber="1" minValue="998.33333333333337" maxValue="1381.090909090909"/>
    </cacheField>
    <cacheField name="Avg Discount %" numFmtId="165">
      <sharedItems containsSemiMixedTypes="0" containsString="0" containsNumber="1" minValue="0.345150642993234" maxValue="0.43217789384947219"/>
    </cacheField>
    <cacheField name="Avg Reviews" numFmtId="164">
      <sharedItems containsMixedTypes="1" containsNumber="1" minValue="10.136363636363637" maxValue="14.954545454545455" count="4">
        <n v="14.954545454545455"/>
        <n v="10.136363636363637"/>
        <n v="14.083333333333334"/>
        <s v=""/>
      </sharedItems>
    </cacheField>
  </cacheFields>
  <extLst>
    <ext xmlns:x14="http://schemas.microsoft.com/office/spreadsheetml/2009/9/main" uri="{725AE2AE-9491-48be-B2B4-4EB974FC3084}">
      <x14:pivotCacheDefinition pivotCacheId="16008790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452084375" createdVersion="8" refreshedVersion="8" minRefreshableVersion="3" recordCount="5" xr:uid="{F664F204-C0A3-47D2-9A7C-FDB32172DD1E}">
  <cacheSource type="worksheet">
    <worksheetSource ref="A15:D20" sheet="Pivot Data"/>
  </cacheSource>
  <cacheFields count="4">
    <cacheField name="Discount Range" numFmtId="0">
      <sharedItems count="5">
        <s v="&lt;20%"/>
        <s v="20-30%"/>
        <s v="30-40%"/>
        <s v="40-50%"/>
        <s v="&gt;50%"/>
      </sharedItems>
    </cacheField>
    <cacheField name="# Products" numFmtId="3">
      <sharedItems containsSemiMixedTypes="0" containsString="0" containsNumber="1" containsInteger="1" minValue="14" maxValue="43"/>
    </cacheField>
    <cacheField name="Avg Reviews" numFmtId="164">
      <sharedItems containsSemiMixedTypes="0" containsString="0" containsNumber="1" minValue="7.6363636363636367" maxValue="18.545454545454547"/>
    </cacheField>
    <cacheField name="Avg Rating" numFmtId="2">
      <sharedItems containsSemiMixedTypes="0" containsString="0" containsNumber="1" minValue="3.5272727272727278" maxValue="4.2909090909090901"/>
    </cacheField>
  </cacheFields>
  <extLst>
    <ext xmlns:x14="http://schemas.microsoft.com/office/spreadsheetml/2009/9/main" uri="{725AE2AE-9491-48be-B2B4-4EB974FC3084}">
      <x14:pivotCacheDefinition pivotCacheId="911241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x v="0"/>
  </r>
  <r>
    <x v="1"/>
    <x v="1"/>
    <x v="1"/>
    <x v="1"/>
    <x v="1"/>
  </r>
  <r>
    <x v="2"/>
    <x v="2"/>
    <x v="2"/>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2"/>
    <n v="1381.090909090909"/>
    <n v="0.37499008128743339"/>
    <x v="0"/>
  </r>
  <r>
    <x v="1"/>
    <n v="22"/>
    <n v="1369.409090909091"/>
    <n v="0.38033103770385124"/>
    <x v="1"/>
  </r>
  <r>
    <x v="2"/>
    <n v="12"/>
    <n v="998.33333333333337"/>
    <n v="0.43217789384947219"/>
    <x v="2"/>
  </r>
  <r>
    <x v="3"/>
    <n v="55"/>
    <n v="1066.2"/>
    <n v="0.345150642993234"/>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8"/>
    <n v="9.5"/>
    <n v="3.7249999999999996"/>
  </r>
  <r>
    <x v="1"/>
    <n v="14"/>
    <n v="18.545454545454547"/>
    <n v="4.245454545454546"/>
  </r>
  <r>
    <x v="2"/>
    <n v="17"/>
    <n v="13.181818181818182"/>
    <n v="4.2909090909090901"/>
  </r>
  <r>
    <x v="3"/>
    <n v="43"/>
    <n v="13.157894736842104"/>
    <n v="3.6631578947368411"/>
  </r>
  <r>
    <x v="4"/>
    <n v="19"/>
    <n v="7.6363636363636367"/>
    <n v="3.52727272727272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EB5B2-B99D-4072-808A-0199129B82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5">
    <pivotField axis="axisRow" showAll="0">
      <items count="4">
        <item x="0"/>
        <item x="2"/>
        <item x="1"/>
        <item t="default"/>
      </items>
    </pivotField>
    <pivotField dataField="1" numFmtId="3" showAll="0">
      <items count="4">
        <item x="2"/>
        <item x="1"/>
        <item x="0"/>
        <item t="default"/>
      </items>
    </pivotField>
    <pivotField showAll="0">
      <items count="4">
        <item x="1"/>
        <item x="2"/>
        <item x="0"/>
        <item t="default"/>
      </items>
    </pivotField>
    <pivotField dataField="1" numFmtId="2" showAll="0">
      <items count="4">
        <item x="0"/>
        <item x="2"/>
        <item x="1"/>
        <item t="default"/>
      </items>
    </pivotField>
    <pivotField dataField="1" numFmtId="164" showAll="0">
      <items count="4">
        <item x="2"/>
        <item x="0"/>
        <item x="1"/>
        <item t="default"/>
      </items>
    </pivotField>
  </pivotFields>
  <rowFields count="1">
    <field x="0"/>
  </rowFields>
  <rowItems count="4">
    <i>
      <x/>
    </i>
    <i>
      <x v="1"/>
    </i>
    <i>
      <x v="2"/>
    </i>
    <i t="grand">
      <x/>
    </i>
  </rowItems>
  <colFields count="1">
    <field x="-2"/>
  </colFields>
  <colItems count="3">
    <i>
      <x/>
    </i>
    <i i="1">
      <x v="1"/>
    </i>
    <i i="2">
      <x v="2"/>
    </i>
  </colItems>
  <dataFields count="3">
    <dataField name="Sum of # Products" fld="1" baseField="0" baseItem="0" numFmtId="3"/>
    <dataField name="Sum of Avg Rating" fld="3" baseField="0" baseItem="0" numFmtId="2"/>
    <dataField name="Sum of Avg Reviews"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E1C4F-C9C7-4B01-B3B1-A5825CEC86F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A3:D8" firstHeaderRow="0" firstDataRow="1" firstDataCol="1"/>
  <pivotFields count="5">
    <pivotField axis="axisRow" showAll="0">
      <items count="5">
        <item x="1"/>
        <item x="0"/>
        <item x="3"/>
        <item x="2"/>
        <item t="default"/>
      </items>
    </pivotField>
    <pivotField dataField="1" numFmtId="3" showAll="0"/>
    <pivotField dataField="1" numFmtId="3" showAll="0"/>
    <pivotField dataField="1" numFmtId="165" showAll="0"/>
    <pivotField showAll="0"/>
  </pivotFields>
  <rowFields count="1">
    <field x="0"/>
  </rowFields>
  <rowItems count="5">
    <i>
      <x/>
    </i>
    <i>
      <x v="1"/>
    </i>
    <i>
      <x v="2"/>
    </i>
    <i>
      <x v="3"/>
    </i>
    <i t="grand">
      <x/>
    </i>
  </rowItems>
  <colFields count="1">
    <field x="-2"/>
  </colFields>
  <colItems count="3">
    <i>
      <x/>
    </i>
    <i i="1">
      <x v="1"/>
    </i>
    <i i="2">
      <x v="2"/>
    </i>
  </colItems>
  <dataFields count="3">
    <dataField name="Sum of  Products" fld="1" baseField="0" baseItem="0" numFmtId="3"/>
    <dataField name="Sum of Avg Price" fld="2" baseField="0" baseItem="0" numFmtId="3"/>
    <dataField name="Avg Disc %"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8605CB-A789-4FE5-99DC-2354139F21CB}"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4">
    <pivotField axis="axisRow" showAll="0">
      <items count="6">
        <item x="0"/>
        <item x="4"/>
        <item x="1"/>
        <item x="2"/>
        <item x="3"/>
        <item t="default"/>
      </items>
    </pivotField>
    <pivotField dataField="1" numFmtId="3" showAll="0"/>
    <pivotField dataField="1" numFmtId="164" showAll="0"/>
    <pivotField dataField="1" numFmtId="2" showAll="0"/>
  </pivotFields>
  <rowFields count="1">
    <field x="0"/>
  </rowFields>
  <rowItems count="6">
    <i>
      <x/>
    </i>
    <i>
      <x v="1"/>
    </i>
    <i>
      <x v="2"/>
    </i>
    <i>
      <x v="3"/>
    </i>
    <i>
      <x v="4"/>
    </i>
    <i t="grand">
      <x/>
    </i>
  </rowItems>
  <colFields count="1">
    <field x="-2"/>
  </colFields>
  <colItems count="3">
    <i>
      <x/>
    </i>
    <i i="1">
      <x v="1"/>
    </i>
    <i i="2">
      <x v="2"/>
    </i>
  </colItems>
  <dataFields count="3">
    <dataField name="Sum of # Products" fld="1" baseField="0" baseItem="0" numFmtId="3"/>
    <dataField name="Sum of Avg Reviews" fld="2" baseField="0" baseItem="0" numFmtId="164"/>
    <dataField name="Sum of Avg Rating" fld="3" baseField="0" baseItem="0" numFmtId="2"/>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Range" xr10:uid="{CE99BABA-E5D2-4062-944A-EFCE64828CB9}" sourceName="Discount Range">
  <pivotTables>
    <pivotTable tabId="15" name="PivotTable11"/>
  </pivotTables>
  <data>
    <tabular pivotCacheId="911241285">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0A33A9C-6F5A-4BF2-BAE9-6C717531ED06}" sourceName="Rating Category">
  <pivotTables>
    <pivotTable tabId="13" name="PivotTable6"/>
  </pivotTables>
  <data>
    <tabular pivotCacheId="1600879096">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7EAA592-39D7-43A0-A0CC-9BBFFCF0C9B0}" sourceName="Discount Category">
  <pivotTables>
    <pivotTable tabId="11" name="PivotTable4"/>
  </pivotTables>
  <data>
    <tabular pivotCacheId="10936672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9FE2BCF8-67E5-46D4-8A65-802CBC2D04C5}" cache="Slicer_Discount_Category" caption="Discoun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690615A4-E197-4F9D-AA54-E1E30973DE7D}" cache="Slicer_Rating_Category" caption="Rating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Range" xr10:uid="{83EB889B-B731-48D0-83FC-714EBF6F67C8}" cache="Slicer_Discount_Range" caption="Discount Ran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A79495-71AA-4EF6-B036-6151F7192A9D}" name="Table3" displayName="Table3" ref="B44:D55" totalsRowShown="0" headerRowDxfId="39">
  <autoFilter ref="B44:D55" xr:uid="{5AA79495-71AA-4EF6-B036-6151F7192A9D}"/>
  <tableColumns count="3">
    <tableColumn id="1" xr3:uid="{FFD57E0B-8F38-43C3-8EF9-C8DDEC8EE1EF}" name="Statistic"/>
    <tableColumn id="2" xr3:uid="{24893FBA-8046-49DD-96A6-D17D49929157}" name="Function"/>
    <tableColumn id="3" xr3:uid="{A6D3BED6-5732-45EB-A397-BB614DF69226}" name="Formula / Result 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46923E-EA26-47A4-A5A4-F9EC5662E53F}" name="Table4" displayName="Table4" ref="B85:D89" totalsRowShown="0" headerRowDxfId="38">
  <autoFilter ref="B85:D89" xr:uid="{8746923E-EA26-47A4-A5A4-F9EC5662E53F}"/>
  <tableColumns count="3">
    <tableColumn id="1" xr3:uid="{0F4036F0-A3E6-4166-8E08-D693DC5A5A9F}" name="PT #"/>
    <tableColumn id="2" xr3:uid="{6E76A962-C66D-42DA-8897-6F86AE762DD1}" name="Pivot Table Name"/>
    <tableColumn id="3" xr3:uid="{839B3508-11CA-49A8-A892-94E278D60466}" name="What It Shows"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FD224E-CBF9-4917-9DB3-A8C26A1C281A}" name="Table5" displayName="Table5" ref="B109:D113" totalsRowShown="0" headerRowDxfId="36">
  <autoFilter ref="B109:D113" xr:uid="{0BFD224E-CBF9-4917-9DB3-A8C26A1C281A}"/>
  <tableColumns count="3">
    <tableColumn id="1" xr3:uid="{7ADAAF97-B2B6-4287-B005-E8A8D30BD327}" name="Chart"/>
    <tableColumn id="2" xr3:uid="{E712DAAD-34CD-4687-A98C-5F06F83B3C30}" name="Type"/>
    <tableColumn id="3" xr3:uid="{B1381AF4-2CD9-4C32-8D54-13DE891EA71A}" name="What It Shows &amp; Why This Chart Type" dataDxfId="3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99E22C-D5CB-4AA3-B6F9-DD1631342359}" name="Table6" displayName="Table6" ref="B125:D128" totalsRowShown="0" headerRowDxfId="34">
  <autoFilter ref="B125:D128" xr:uid="{5C99E22C-D5CB-4AA3-B6F9-DD1631342359}"/>
  <tableColumns count="3">
    <tableColumn id="1" xr3:uid="{50FE61CA-4611-4672-877D-46EBBBA6BFF1}" name="Slicer Field"/>
    <tableColumn id="2" xr3:uid="{B60D875B-618A-4162-BDB3-8B0005C4841F}" name="Source Column"/>
    <tableColumn id="3" xr3:uid="{4AE91D8C-DB9C-42A8-9C4B-B55327410170}" name="What Clicking It Does" dataDxfId="3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B276C5-F9BC-47A1-AD14-54D61048A42D}" name="Table7" displayName="Table7" ref="B28:D33" totalsRowShown="0">
  <autoFilter ref="B28:D33" xr:uid="{7FB276C5-F9BC-47A1-AD14-54D61048A42D}"/>
  <tableColumns count="3">
    <tableColumn id="1" xr3:uid="{48A24A92-D9B2-4D6E-8644-04FF5049D3A2}" name="New Column"/>
    <tableColumn id="2" xr3:uid="{12B83B2B-9A00-4ED9-B37B-BF0E82F38BBD}" name="Column Letter"/>
    <tableColumn id="3" xr3:uid="{C3227E85-9C5E-46D3-A772-7101F0D9EB11}" name="Excel Formula Used"/>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A7047F-91F6-4079-9305-44CDF2A9B319}" name="Table8" displayName="Table8" ref="B15:D21" totalsRowShown="0" headerRowDxfId="32">
  <autoFilter ref="B15:D21" xr:uid="{E7A7047F-91F6-4079-9305-44CDF2A9B319}"/>
  <tableColumns count="3">
    <tableColumn id="1" xr3:uid="{98045FFE-5A37-4737-BA3C-2266463A8DC4}" name="Problem Found"/>
    <tableColumn id="2" xr3:uid="{001041A2-00BC-48B4-BE4A-35494292EAFD}" name="Location / Details" dataDxfId="31"/>
    <tableColumn id="3" xr3:uid="{29145343-3F9D-4275-9A57-93B1D9770793}" name="Action Take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D7D505-697D-43C8-8FAE-5FC17E503A14}" name="Table2" displayName="Table2" ref="A1:K112" totalsRowShown="0" headerRowDxfId="15" dataDxfId="13" headerRowBorderDxfId="14" tableBorderDxfId="12" totalsRowBorderDxfId="11">
  <autoFilter ref="A1:K112" xr:uid="{8BD7D505-697D-43C8-8FAE-5FC17E503A14}"/>
  <tableColumns count="11">
    <tableColumn id="1" xr3:uid="{F49DD481-C1BB-4D23-801B-C9E3EF0D9718}" name="Product" dataDxfId="10"/>
    <tableColumn id="2" xr3:uid="{4402FEE6-9D5A-4995-B7C8-C1835E77666F}" name="Current Price (KES)" dataDxfId="9"/>
    <tableColumn id="3" xr3:uid="{AE857E3E-8ABD-452B-8DD8-129B91E4BBAA}" name="Old Price (KES)" dataDxfId="8"/>
    <tableColumn id="4" xr3:uid="{A81274F4-C152-4B48-9C49-008F1489014C}" name="Absolute Discount (KES)" dataDxfId="7"/>
    <tableColumn id="5" xr3:uid="{A8EE85DF-6F64-4A4E-B10D-76C3AF30FBB0}" name="Discount %" dataDxfId="6"/>
    <tableColumn id="6" xr3:uid="{19D4A1E3-5940-4C9E-B148-67F9B47BB776}" name="Discount Label" dataDxfId="5"/>
    <tableColumn id="7" xr3:uid="{51CE7ACC-DAC1-4752-90CA-D690D430FF09}" name="Reviews" dataDxfId="4"/>
    <tableColumn id="8" xr3:uid="{9CE10FCF-1703-4669-B059-558A2BAF940D}" name="Rating (out of 5)" dataDxfId="3"/>
    <tableColumn id="9" xr3:uid="{40815B90-80E1-4CDE-BF2F-49960E5B1F0A}" name="Rating Label" dataDxfId="2"/>
    <tableColumn id="10" xr3:uid="{015CF260-971B-4B31-BBE6-5544FADDE0F9}" name="Rating Category" dataDxfId="1"/>
    <tableColumn id="11" xr3:uid="{74760419-F2AC-47FB-B9FE-B1FA6AA61B3B}" name="Discount Category" dataDxfId="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E3E5C-C6BD-49C8-AC59-4C143D0C977F}" name="Table1" displayName="Table1" ref="A1:K112" totalsRowShown="0" headerRowDxfId="30" headerRowBorderDxfId="29" tableBorderDxfId="28" totalsRowBorderDxfId="27">
  <autoFilter ref="A1:K112" xr:uid="{7B9E3E5C-C6BD-49C8-AC59-4C143D0C977F}"/>
  <sortState xmlns:xlrd2="http://schemas.microsoft.com/office/spreadsheetml/2017/richdata2" ref="A2:K112">
    <sortCondition descending="1" ref="H1:H112"/>
  </sortState>
  <tableColumns count="11">
    <tableColumn id="1" xr3:uid="{1453C3C6-B9EA-49F9-9EE0-FD7904B5011E}" name="Product" dataDxfId="26"/>
    <tableColumn id="2" xr3:uid="{0E5B8B43-CEFB-4B85-95F5-07465EBF8ACF}" name="Current Price (KES)" dataDxfId="25"/>
    <tableColumn id="3" xr3:uid="{18F2FCD7-D5F9-48DE-A98A-9D5D830C1A3E}" name="Old Price (KES)" dataDxfId="24"/>
    <tableColumn id="4" xr3:uid="{072939C2-5FC8-45F4-AFFA-B57E13270FFE}" name="Absolute Discount (KES)" dataDxfId="23">
      <calculatedColumnFormula>C2-B2</calculatedColumnFormula>
    </tableColumn>
    <tableColumn id="5" xr3:uid="{9A9E9933-9E6A-49D6-8E64-C1828291EA41}" name="Discount %" dataDxfId="22">
      <calculatedColumnFormula>IF(C2&gt;0,(C2-B2)/C2,0)</calculatedColumnFormula>
    </tableColumn>
    <tableColumn id="6" xr3:uid="{212F1420-A301-490D-8912-97FE75695505}" name="Discount Label" dataDxfId="21">
      <calculatedColumnFormula>IF(E2="","N/A",IF(E2&lt;0.2,"Low Discount",IF(E2&lt;=0.4,"Medium Discount","High Discount")))</calculatedColumnFormula>
    </tableColumn>
    <tableColumn id="7" xr3:uid="{8DAFFB76-F3F2-4621-A9D3-D4838874C2C0}" name="Reviews" dataDxfId="20"/>
    <tableColumn id="8" xr3:uid="{A4DA97CB-676D-4FD9-AEB1-CC5805654B56}" name="Rating (out of 5)" dataDxfId="19"/>
    <tableColumn id="9" xr3:uid="{88CBBA88-E41A-455A-89B0-647A905134B0}" name="Rating Label" dataDxfId="18"/>
    <tableColumn id="10" xr3:uid="{15E5E03B-5290-4193-AA4E-5C91C213F162}" name="Rating Category" dataDxfId="17">
      <calculatedColumnFormula>IF(H2="","N/A",IF(H2&lt;3,"Poor",IF(H2&lt;4.5,"Average","Excellent")))</calculatedColumnFormula>
    </tableColumn>
    <tableColumn id="11" xr3:uid="{E67BE50C-7F11-4C0D-B350-844BC3B57E97}" name="Discount Category" dataDxfId="16">
      <calculatedColumnFormula>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5BF4-F7C5-4CF8-87AA-3E24F6728F88}">
  <dimension ref="A1:F116"/>
  <sheetViews>
    <sheetView workbookViewId="0">
      <selection activeCell="I70" sqref="I70"/>
    </sheetView>
  </sheetViews>
  <sheetFormatPr defaultRowHeight="14.5" x14ac:dyDescent="0.35"/>
  <cols>
    <col min="1" max="1" width="89.1796875" bestFit="1" customWidth="1"/>
    <col min="2" max="3" width="18.36328125" bestFit="1" customWidth="1"/>
  </cols>
  <sheetData>
    <row r="1" spans="1:6" x14ac:dyDescent="0.35">
      <c r="A1" t="s">
        <v>42</v>
      </c>
      <c r="B1" t="s">
        <v>226</v>
      </c>
      <c r="C1" t="s">
        <v>227</v>
      </c>
      <c r="D1" t="s">
        <v>228</v>
      </c>
      <c r="E1" t="s">
        <v>229</v>
      </c>
      <c r="F1" t="s">
        <v>230</v>
      </c>
    </row>
    <row r="2" spans="1:6" x14ac:dyDescent="0.35">
      <c r="A2" t="s">
        <v>51</v>
      </c>
      <c r="B2" t="s">
        <v>231</v>
      </c>
      <c r="C2" t="s">
        <v>232</v>
      </c>
      <c r="D2" s="118">
        <v>0.38</v>
      </c>
      <c r="E2">
        <v>-2</v>
      </c>
      <c r="F2" t="s">
        <v>233</v>
      </c>
    </row>
    <row r="3" spans="1:6" x14ac:dyDescent="0.35">
      <c r="A3" t="s">
        <v>53</v>
      </c>
      <c r="B3" t="s">
        <v>234</v>
      </c>
      <c r="C3" t="s">
        <v>235</v>
      </c>
      <c r="D3" s="118">
        <v>0.47</v>
      </c>
      <c r="E3">
        <v>-14</v>
      </c>
      <c r="F3" t="s">
        <v>236</v>
      </c>
    </row>
    <row r="4" spans="1:6" x14ac:dyDescent="0.35">
      <c r="A4" t="s">
        <v>54</v>
      </c>
      <c r="B4" t="s">
        <v>237</v>
      </c>
      <c r="C4" t="s">
        <v>238</v>
      </c>
      <c r="D4" s="118">
        <v>0.25</v>
      </c>
      <c r="E4">
        <v>-24</v>
      </c>
      <c r="F4" t="s">
        <v>239</v>
      </c>
    </row>
    <row r="5" spans="1:6" x14ac:dyDescent="0.35">
      <c r="A5" t="s">
        <v>55</v>
      </c>
      <c r="B5" t="s">
        <v>240</v>
      </c>
      <c r="C5" t="s">
        <v>241</v>
      </c>
      <c r="D5" s="118">
        <v>0.37</v>
      </c>
      <c r="E5">
        <v>-7</v>
      </c>
      <c r="F5" t="s">
        <v>242</v>
      </c>
    </row>
    <row r="6" spans="1:6" x14ac:dyDescent="0.35">
      <c r="A6" t="s">
        <v>56</v>
      </c>
      <c r="B6" t="s">
        <v>243</v>
      </c>
      <c r="C6" t="s">
        <v>244</v>
      </c>
      <c r="D6" s="118">
        <v>0.26</v>
      </c>
      <c r="E6">
        <v>-5</v>
      </c>
      <c r="F6" t="s">
        <v>245</v>
      </c>
    </row>
    <row r="7" spans="1:6" x14ac:dyDescent="0.35">
      <c r="A7" t="s">
        <v>57</v>
      </c>
      <c r="B7" t="s">
        <v>246</v>
      </c>
      <c r="C7" t="s">
        <v>247</v>
      </c>
      <c r="D7" s="118">
        <v>0.09</v>
      </c>
      <c r="E7">
        <v>-15</v>
      </c>
      <c r="F7" t="s">
        <v>248</v>
      </c>
    </row>
    <row r="8" spans="1:6" x14ac:dyDescent="0.35">
      <c r="A8" t="s">
        <v>58</v>
      </c>
      <c r="B8" t="s">
        <v>249</v>
      </c>
      <c r="C8" t="s">
        <v>250</v>
      </c>
      <c r="D8" s="118">
        <v>0.24</v>
      </c>
      <c r="E8">
        <v>-55</v>
      </c>
      <c r="F8" t="s">
        <v>239</v>
      </c>
    </row>
    <row r="9" spans="1:6" x14ac:dyDescent="0.35">
      <c r="A9" t="s">
        <v>59</v>
      </c>
      <c r="B9" t="s">
        <v>251</v>
      </c>
      <c r="C9" t="s">
        <v>240</v>
      </c>
      <c r="D9" s="118">
        <v>0.37</v>
      </c>
      <c r="E9">
        <v>-2</v>
      </c>
      <c r="F9" t="s">
        <v>248</v>
      </c>
    </row>
    <row r="10" spans="1:6" x14ac:dyDescent="0.35">
      <c r="A10" t="s">
        <v>60</v>
      </c>
      <c r="B10" t="s">
        <v>252</v>
      </c>
      <c r="C10" t="s">
        <v>253</v>
      </c>
      <c r="D10" s="118">
        <v>0.55000000000000004</v>
      </c>
      <c r="E10">
        <v>-5</v>
      </c>
      <c r="F10" t="s">
        <v>245</v>
      </c>
    </row>
    <row r="11" spans="1:6" x14ac:dyDescent="0.35">
      <c r="A11" t="s">
        <v>61</v>
      </c>
      <c r="B11" t="s">
        <v>254</v>
      </c>
      <c r="C11" t="s">
        <v>255</v>
      </c>
      <c r="D11" s="118">
        <v>0.45</v>
      </c>
      <c r="E11">
        <v>-5</v>
      </c>
      <c r="F11" t="s">
        <v>256</v>
      </c>
    </row>
    <row r="12" spans="1:6" x14ac:dyDescent="0.35">
      <c r="A12" t="s">
        <v>62</v>
      </c>
      <c r="B12" t="s">
        <v>257</v>
      </c>
      <c r="C12" t="s">
        <v>235</v>
      </c>
      <c r="D12" s="118">
        <v>0.2</v>
      </c>
      <c r="E12">
        <v>-12</v>
      </c>
      <c r="F12" t="s">
        <v>236</v>
      </c>
    </row>
    <row r="13" spans="1:6" x14ac:dyDescent="0.35">
      <c r="A13" t="s">
        <v>63</v>
      </c>
      <c r="B13" t="s">
        <v>258</v>
      </c>
      <c r="C13" t="s">
        <v>259</v>
      </c>
      <c r="D13" s="118">
        <v>0.34</v>
      </c>
      <c r="E13">
        <v>-39</v>
      </c>
      <c r="F13" t="s">
        <v>242</v>
      </c>
    </row>
    <row r="14" spans="1:6" x14ac:dyDescent="0.35">
      <c r="A14" t="s">
        <v>64</v>
      </c>
      <c r="B14" t="s">
        <v>260</v>
      </c>
      <c r="C14" t="s">
        <v>261</v>
      </c>
      <c r="D14" s="118">
        <v>0.47</v>
      </c>
      <c r="E14">
        <v>-12</v>
      </c>
      <c r="F14" t="s">
        <v>245</v>
      </c>
    </row>
    <row r="15" spans="1:6" x14ac:dyDescent="0.35">
      <c r="A15" t="s">
        <v>65</v>
      </c>
      <c r="B15" t="s">
        <v>262</v>
      </c>
      <c r="C15" t="s">
        <v>263</v>
      </c>
      <c r="D15" s="118">
        <v>0.42</v>
      </c>
      <c r="E15">
        <v>-6</v>
      </c>
      <c r="F15" t="s">
        <v>233</v>
      </c>
    </row>
    <row r="16" spans="1:6" x14ac:dyDescent="0.35">
      <c r="A16" t="s">
        <v>66</v>
      </c>
      <c r="B16" t="s">
        <v>264</v>
      </c>
      <c r="C16" t="s">
        <v>241</v>
      </c>
      <c r="D16" s="118">
        <v>0.33</v>
      </c>
      <c r="E16">
        <v>-9</v>
      </c>
      <c r="F16" t="s">
        <v>265</v>
      </c>
    </row>
    <row r="17" spans="1:6" x14ac:dyDescent="0.35">
      <c r="A17" t="s">
        <v>67</v>
      </c>
      <c r="B17" t="s">
        <v>266</v>
      </c>
      <c r="C17" t="s">
        <v>267</v>
      </c>
      <c r="D17" s="118">
        <v>0.51</v>
      </c>
      <c r="E17">
        <v>-2</v>
      </c>
      <c r="F17" t="s">
        <v>268</v>
      </c>
    </row>
    <row r="18" spans="1:6" x14ac:dyDescent="0.35">
      <c r="A18" t="s">
        <v>68</v>
      </c>
      <c r="B18" t="s">
        <v>269</v>
      </c>
      <c r="C18" t="s">
        <v>270</v>
      </c>
      <c r="D18" s="118">
        <v>0.46</v>
      </c>
      <c r="E18">
        <v>-2</v>
      </c>
      <c r="F18" t="s">
        <v>268</v>
      </c>
    </row>
    <row r="19" spans="1:6" x14ac:dyDescent="0.35">
      <c r="A19" t="s">
        <v>69</v>
      </c>
      <c r="B19" t="s">
        <v>271</v>
      </c>
      <c r="C19" t="s">
        <v>272</v>
      </c>
      <c r="D19" s="118">
        <v>0.49</v>
      </c>
      <c r="E19">
        <v>-3</v>
      </c>
      <c r="F19" t="s">
        <v>268</v>
      </c>
    </row>
    <row r="20" spans="1:6" x14ac:dyDescent="0.35">
      <c r="A20" t="s">
        <v>70</v>
      </c>
      <c r="B20" t="s">
        <v>246</v>
      </c>
      <c r="C20" t="s">
        <v>273</v>
      </c>
      <c r="D20" s="118">
        <v>0.19</v>
      </c>
      <c r="E20">
        <v>-5</v>
      </c>
      <c r="F20" t="s">
        <v>239</v>
      </c>
    </row>
    <row r="21" spans="1:6" x14ac:dyDescent="0.35">
      <c r="A21" t="s">
        <v>71</v>
      </c>
      <c r="B21" t="s">
        <v>274</v>
      </c>
      <c r="C21" t="s">
        <v>275</v>
      </c>
      <c r="D21" s="118">
        <v>0.49</v>
      </c>
      <c r="E21">
        <v>-44</v>
      </c>
      <c r="F21" t="s">
        <v>239</v>
      </c>
    </row>
    <row r="22" spans="1:6" x14ac:dyDescent="0.35">
      <c r="A22" t="s">
        <v>72</v>
      </c>
      <c r="B22" t="s">
        <v>276</v>
      </c>
      <c r="C22" t="s">
        <v>277</v>
      </c>
      <c r="D22" s="118">
        <v>0.53</v>
      </c>
      <c r="E22">
        <v>-13</v>
      </c>
      <c r="F22" t="s">
        <v>278</v>
      </c>
    </row>
    <row r="23" spans="1:6" x14ac:dyDescent="0.35">
      <c r="A23" t="s">
        <v>73</v>
      </c>
      <c r="B23" t="s">
        <v>279</v>
      </c>
      <c r="C23" t="s">
        <v>280</v>
      </c>
      <c r="D23" s="118">
        <v>0.42</v>
      </c>
    </row>
    <row r="24" spans="1:6" x14ac:dyDescent="0.35">
      <c r="A24" t="s">
        <v>74</v>
      </c>
      <c r="B24" t="s">
        <v>281</v>
      </c>
      <c r="C24" t="s">
        <v>282</v>
      </c>
      <c r="D24" s="118">
        <v>0.35</v>
      </c>
      <c r="E24">
        <v>-6</v>
      </c>
      <c r="F24" t="s">
        <v>248</v>
      </c>
    </row>
    <row r="25" spans="1:6" x14ac:dyDescent="0.35">
      <c r="A25" t="s">
        <v>75</v>
      </c>
      <c r="B25" t="s">
        <v>283</v>
      </c>
      <c r="C25" t="s">
        <v>284</v>
      </c>
      <c r="D25" s="118">
        <v>0.23</v>
      </c>
      <c r="E25">
        <v>-14</v>
      </c>
      <c r="F25" t="s">
        <v>285</v>
      </c>
    </row>
    <row r="26" spans="1:6" x14ac:dyDescent="0.35">
      <c r="A26" t="s">
        <v>76</v>
      </c>
      <c r="B26" t="s">
        <v>286</v>
      </c>
      <c r="C26" t="s">
        <v>287</v>
      </c>
      <c r="D26" s="118">
        <v>0.54</v>
      </c>
      <c r="E26">
        <v>-7</v>
      </c>
      <c r="F26" t="s">
        <v>288</v>
      </c>
    </row>
    <row r="27" spans="1:6" x14ac:dyDescent="0.35">
      <c r="A27" t="s">
        <v>77</v>
      </c>
      <c r="B27" t="s">
        <v>289</v>
      </c>
      <c r="C27" t="s">
        <v>290</v>
      </c>
      <c r="D27" s="118">
        <v>0.35</v>
      </c>
      <c r="E27">
        <v>-49</v>
      </c>
      <c r="F27" t="s">
        <v>239</v>
      </c>
    </row>
    <row r="28" spans="1:6" x14ac:dyDescent="0.35">
      <c r="A28" t="s">
        <v>78</v>
      </c>
      <c r="B28" t="s">
        <v>291</v>
      </c>
      <c r="C28" t="s">
        <v>292</v>
      </c>
      <c r="D28" s="118">
        <v>0.18</v>
      </c>
      <c r="E28">
        <v>-12</v>
      </c>
      <c r="F28" t="s">
        <v>256</v>
      </c>
    </row>
    <row r="29" spans="1:6" x14ac:dyDescent="0.35">
      <c r="A29" t="s">
        <v>79</v>
      </c>
      <c r="B29" t="s">
        <v>282</v>
      </c>
      <c r="C29" t="s">
        <v>293</v>
      </c>
      <c r="D29" s="118">
        <v>0.32</v>
      </c>
      <c r="E29">
        <v>-13</v>
      </c>
      <c r="F29" t="s">
        <v>256</v>
      </c>
    </row>
    <row r="30" spans="1:6" x14ac:dyDescent="0.35">
      <c r="A30" t="s">
        <v>80</v>
      </c>
      <c r="B30" t="s">
        <v>294</v>
      </c>
      <c r="C30" t="s">
        <v>241</v>
      </c>
      <c r="D30" s="118">
        <v>0.3</v>
      </c>
      <c r="E30">
        <v>-20</v>
      </c>
      <c r="F30" t="s">
        <v>236</v>
      </c>
    </row>
    <row r="31" spans="1:6" x14ac:dyDescent="0.35">
      <c r="A31" t="s">
        <v>81</v>
      </c>
      <c r="B31" t="s">
        <v>295</v>
      </c>
      <c r="C31" t="s">
        <v>296</v>
      </c>
      <c r="D31" s="118">
        <v>0.46</v>
      </c>
    </row>
    <row r="32" spans="1:6" x14ac:dyDescent="0.35">
      <c r="A32" t="s">
        <v>82</v>
      </c>
      <c r="B32" t="s">
        <v>297</v>
      </c>
      <c r="C32" t="s">
        <v>298</v>
      </c>
      <c r="D32" s="118">
        <v>0.52</v>
      </c>
      <c r="E32">
        <v>-9</v>
      </c>
      <c r="F32" t="s">
        <v>288</v>
      </c>
    </row>
    <row r="33" spans="1:6" x14ac:dyDescent="0.35">
      <c r="A33" t="s">
        <v>83</v>
      </c>
      <c r="B33" t="s">
        <v>299</v>
      </c>
      <c r="C33" t="s">
        <v>300</v>
      </c>
      <c r="D33" s="118">
        <v>0.34</v>
      </c>
      <c r="E33">
        <v>-12</v>
      </c>
      <c r="F33" t="s">
        <v>242</v>
      </c>
    </row>
    <row r="34" spans="1:6" x14ac:dyDescent="0.35">
      <c r="A34" t="s">
        <v>84</v>
      </c>
      <c r="B34" t="s">
        <v>301</v>
      </c>
      <c r="C34" t="s">
        <v>302</v>
      </c>
      <c r="D34" s="118">
        <v>0.48</v>
      </c>
      <c r="E34">
        <v>-9</v>
      </c>
      <c r="F34" t="s">
        <v>288</v>
      </c>
    </row>
    <row r="35" spans="1:6" x14ac:dyDescent="0.35">
      <c r="A35" t="s">
        <v>85</v>
      </c>
      <c r="B35" t="s">
        <v>303</v>
      </c>
      <c r="C35" t="s">
        <v>304</v>
      </c>
      <c r="D35" s="118">
        <v>0.27</v>
      </c>
      <c r="E35">
        <v>-20</v>
      </c>
      <c r="F35" t="s">
        <v>242</v>
      </c>
    </row>
    <row r="36" spans="1:6" x14ac:dyDescent="0.35">
      <c r="A36" t="s">
        <v>86</v>
      </c>
      <c r="B36" t="s">
        <v>305</v>
      </c>
      <c r="C36" t="s">
        <v>306</v>
      </c>
      <c r="D36" s="118">
        <v>0.27</v>
      </c>
      <c r="E36">
        <v>-32</v>
      </c>
      <c r="F36" t="s">
        <v>233</v>
      </c>
    </row>
    <row r="37" spans="1:6" x14ac:dyDescent="0.35">
      <c r="A37" t="s">
        <v>87</v>
      </c>
      <c r="B37" t="s">
        <v>307</v>
      </c>
      <c r="C37" t="s">
        <v>308</v>
      </c>
      <c r="D37" s="118">
        <v>0.4</v>
      </c>
      <c r="E37">
        <v>-1</v>
      </c>
      <c r="F37" t="s">
        <v>268</v>
      </c>
    </row>
    <row r="38" spans="1:6" x14ac:dyDescent="0.35">
      <c r="A38" t="s">
        <v>88</v>
      </c>
      <c r="B38" t="s">
        <v>309</v>
      </c>
      <c r="C38" t="s">
        <v>270</v>
      </c>
      <c r="D38" s="118">
        <v>0.53</v>
      </c>
      <c r="E38">
        <v>-2</v>
      </c>
      <c r="F38" t="s">
        <v>268</v>
      </c>
    </row>
    <row r="39" spans="1:6" x14ac:dyDescent="0.35">
      <c r="A39" t="s">
        <v>89</v>
      </c>
      <c r="B39" t="s">
        <v>310</v>
      </c>
      <c r="C39" t="s">
        <v>311</v>
      </c>
      <c r="D39" s="118">
        <v>0.41</v>
      </c>
      <c r="E39">
        <v>-36</v>
      </c>
      <c r="F39" t="s">
        <v>288</v>
      </c>
    </row>
    <row r="40" spans="1:6" x14ac:dyDescent="0.35">
      <c r="A40" t="s">
        <v>312</v>
      </c>
      <c r="B40" t="s">
        <v>313</v>
      </c>
      <c r="C40" t="s">
        <v>314</v>
      </c>
      <c r="D40" s="118">
        <v>0.38</v>
      </c>
      <c r="E40">
        <v>-2</v>
      </c>
      <c r="F40" t="s">
        <v>233</v>
      </c>
    </row>
    <row r="41" spans="1:6" x14ac:dyDescent="0.35">
      <c r="A41" t="s">
        <v>90</v>
      </c>
      <c r="B41" t="s">
        <v>315</v>
      </c>
      <c r="C41" t="s">
        <v>316</v>
      </c>
      <c r="D41" s="118">
        <v>0.38</v>
      </c>
    </row>
    <row r="42" spans="1:6" x14ac:dyDescent="0.35">
      <c r="A42" t="s">
        <v>91</v>
      </c>
      <c r="B42" t="s">
        <v>317</v>
      </c>
      <c r="C42" t="s">
        <v>318</v>
      </c>
      <c r="D42" s="118">
        <v>0.49</v>
      </c>
    </row>
    <row r="43" spans="1:6" x14ac:dyDescent="0.35">
      <c r="A43" t="s">
        <v>92</v>
      </c>
      <c r="B43" t="s">
        <v>319</v>
      </c>
      <c r="C43" t="s">
        <v>320</v>
      </c>
      <c r="D43" s="118">
        <v>0.5</v>
      </c>
    </row>
    <row r="44" spans="1:6" x14ac:dyDescent="0.35">
      <c r="A44" t="s">
        <v>93</v>
      </c>
      <c r="B44" t="s">
        <v>321</v>
      </c>
      <c r="C44" t="s">
        <v>322</v>
      </c>
      <c r="D44" s="118">
        <v>0.42</v>
      </c>
    </row>
    <row r="45" spans="1:6" x14ac:dyDescent="0.35">
      <c r="A45" t="s">
        <v>93</v>
      </c>
      <c r="B45" t="s">
        <v>321</v>
      </c>
      <c r="C45" t="s">
        <v>322</v>
      </c>
      <c r="D45" s="118">
        <v>0.42</v>
      </c>
    </row>
    <row r="46" spans="1:6" x14ac:dyDescent="0.35">
      <c r="A46" t="s">
        <v>94</v>
      </c>
      <c r="B46" t="s">
        <v>323</v>
      </c>
      <c r="C46" t="s">
        <v>324</v>
      </c>
      <c r="D46" s="118">
        <v>0.02</v>
      </c>
    </row>
    <row r="47" spans="1:6" x14ac:dyDescent="0.35">
      <c r="A47" t="s">
        <v>95</v>
      </c>
      <c r="B47" t="s">
        <v>235</v>
      </c>
      <c r="C47" t="s">
        <v>325</v>
      </c>
      <c r="D47" s="118">
        <v>0.5</v>
      </c>
    </row>
    <row r="48" spans="1:6" x14ac:dyDescent="0.35">
      <c r="A48" t="s">
        <v>96</v>
      </c>
      <c r="B48" t="s">
        <v>326</v>
      </c>
      <c r="C48" t="s">
        <v>327</v>
      </c>
      <c r="D48" s="118">
        <v>0.33</v>
      </c>
    </row>
    <row r="49" spans="1:6" x14ac:dyDescent="0.35">
      <c r="A49" t="s">
        <v>97</v>
      </c>
      <c r="B49" t="s">
        <v>328</v>
      </c>
      <c r="C49" t="s">
        <v>329</v>
      </c>
      <c r="D49" s="118">
        <v>0.49</v>
      </c>
    </row>
    <row r="50" spans="1:6" x14ac:dyDescent="0.35">
      <c r="A50" t="s">
        <v>98</v>
      </c>
      <c r="B50" t="s">
        <v>330</v>
      </c>
      <c r="C50" t="s">
        <v>331</v>
      </c>
      <c r="D50" s="118">
        <v>0.38</v>
      </c>
    </row>
    <row r="51" spans="1:6" x14ac:dyDescent="0.35">
      <c r="A51" t="s">
        <v>99</v>
      </c>
      <c r="B51" t="s">
        <v>332</v>
      </c>
      <c r="C51" t="s">
        <v>333</v>
      </c>
      <c r="D51" s="118">
        <v>0.61</v>
      </c>
    </row>
    <row r="52" spans="1:6" x14ac:dyDescent="0.35">
      <c r="A52" t="s">
        <v>100</v>
      </c>
      <c r="B52" t="s">
        <v>334</v>
      </c>
      <c r="C52" t="s">
        <v>335</v>
      </c>
      <c r="D52" s="118">
        <v>0.5</v>
      </c>
    </row>
    <row r="53" spans="1:6" x14ac:dyDescent="0.35">
      <c r="A53" t="s">
        <v>101</v>
      </c>
      <c r="B53" t="s">
        <v>336</v>
      </c>
      <c r="C53" t="s">
        <v>337</v>
      </c>
      <c r="D53" s="118">
        <v>0.02</v>
      </c>
    </row>
    <row r="54" spans="1:6" x14ac:dyDescent="0.35">
      <c r="A54" t="s">
        <v>102</v>
      </c>
      <c r="B54" t="s">
        <v>334</v>
      </c>
      <c r="C54" t="s">
        <v>338</v>
      </c>
      <c r="D54" s="118">
        <v>0.22</v>
      </c>
    </row>
    <row r="55" spans="1:6" x14ac:dyDescent="0.35">
      <c r="A55" t="s">
        <v>103</v>
      </c>
      <c r="B55" t="s">
        <v>339</v>
      </c>
      <c r="C55" t="s">
        <v>340</v>
      </c>
      <c r="D55" s="118">
        <v>0.03</v>
      </c>
    </row>
    <row r="56" spans="1:6" x14ac:dyDescent="0.35">
      <c r="A56" t="s">
        <v>104</v>
      </c>
      <c r="B56" t="s">
        <v>257</v>
      </c>
      <c r="C56" t="s">
        <v>341</v>
      </c>
      <c r="D56" s="118">
        <v>0.41</v>
      </c>
    </row>
    <row r="57" spans="1:6" x14ac:dyDescent="0.35">
      <c r="A57" t="s">
        <v>105</v>
      </c>
      <c r="B57" t="s">
        <v>342</v>
      </c>
      <c r="C57" t="s">
        <v>343</v>
      </c>
      <c r="D57" s="118">
        <v>0.45</v>
      </c>
    </row>
    <row r="58" spans="1:6" x14ac:dyDescent="0.35">
      <c r="A58" t="s">
        <v>106</v>
      </c>
      <c r="B58" t="s">
        <v>344</v>
      </c>
      <c r="C58" t="s">
        <v>341</v>
      </c>
      <c r="D58" s="118">
        <v>0.48</v>
      </c>
    </row>
    <row r="59" spans="1:6" x14ac:dyDescent="0.35">
      <c r="A59" t="s">
        <v>107</v>
      </c>
      <c r="B59" t="s">
        <v>257</v>
      </c>
      <c r="C59" t="s">
        <v>345</v>
      </c>
      <c r="D59" s="118">
        <v>0.49</v>
      </c>
    </row>
    <row r="60" spans="1:6" x14ac:dyDescent="0.35">
      <c r="A60" t="s">
        <v>108</v>
      </c>
      <c r="B60" t="s">
        <v>346</v>
      </c>
      <c r="C60" t="s">
        <v>347</v>
      </c>
      <c r="D60" s="118">
        <v>0.27</v>
      </c>
    </row>
    <row r="61" spans="1:6" x14ac:dyDescent="0.35">
      <c r="A61" t="s">
        <v>105</v>
      </c>
      <c r="B61" t="s">
        <v>348</v>
      </c>
      <c r="C61" t="s">
        <v>349</v>
      </c>
      <c r="D61" s="118">
        <v>0.55000000000000004</v>
      </c>
    </row>
    <row r="62" spans="1:6" x14ac:dyDescent="0.35">
      <c r="A62" t="s">
        <v>109</v>
      </c>
      <c r="B62" t="s">
        <v>350</v>
      </c>
      <c r="C62" t="s">
        <v>351</v>
      </c>
      <c r="D62" s="118">
        <v>0.13</v>
      </c>
      <c r="E62">
        <v>-6</v>
      </c>
      <c r="F62" t="s">
        <v>352</v>
      </c>
    </row>
    <row r="63" spans="1:6" x14ac:dyDescent="0.35">
      <c r="A63" t="s">
        <v>111</v>
      </c>
      <c r="B63" t="s">
        <v>353</v>
      </c>
      <c r="C63" t="s">
        <v>354</v>
      </c>
      <c r="D63" s="118">
        <v>0.54</v>
      </c>
      <c r="E63">
        <v>-10</v>
      </c>
      <c r="F63" t="s">
        <v>355</v>
      </c>
    </row>
    <row r="64" spans="1:6" x14ac:dyDescent="0.35">
      <c r="A64" t="s">
        <v>112</v>
      </c>
      <c r="B64" t="s">
        <v>356</v>
      </c>
      <c r="C64" t="s">
        <v>357</v>
      </c>
      <c r="D64" s="118">
        <v>0.55000000000000004</v>
      </c>
      <c r="E64">
        <v>-13</v>
      </c>
      <c r="F64" t="s">
        <v>358</v>
      </c>
    </row>
    <row r="65" spans="1:6" x14ac:dyDescent="0.35">
      <c r="A65" t="s">
        <v>113</v>
      </c>
      <c r="B65" t="s">
        <v>359</v>
      </c>
      <c r="C65" t="s">
        <v>360</v>
      </c>
      <c r="D65" s="118">
        <v>0.49</v>
      </c>
      <c r="E65">
        <v>-69</v>
      </c>
      <c r="F65" t="s">
        <v>361</v>
      </c>
    </row>
    <row r="66" spans="1:6" x14ac:dyDescent="0.35">
      <c r="A66" t="s">
        <v>114</v>
      </c>
      <c r="B66" t="s">
        <v>362</v>
      </c>
      <c r="C66" t="s">
        <v>363</v>
      </c>
      <c r="D66" s="118">
        <v>0.52</v>
      </c>
      <c r="E66">
        <v>-15</v>
      </c>
      <c r="F66" t="s">
        <v>364</v>
      </c>
    </row>
    <row r="67" spans="1:6" x14ac:dyDescent="0.35">
      <c r="A67" t="s">
        <v>115</v>
      </c>
      <c r="B67" t="s">
        <v>365</v>
      </c>
      <c r="C67" t="s">
        <v>366</v>
      </c>
      <c r="D67" s="118">
        <v>0.22</v>
      </c>
      <c r="E67">
        <v>-16</v>
      </c>
      <c r="F67" t="s">
        <v>367</v>
      </c>
    </row>
    <row r="68" spans="1:6" x14ac:dyDescent="0.35">
      <c r="A68" t="s">
        <v>116</v>
      </c>
      <c r="B68" t="s">
        <v>258</v>
      </c>
      <c r="C68" t="s">
        <v>368</v>
      </c>
      <c r="D68" s="118">
        <v>0.45</v>
      </c>
      <c r="E68">
        <v>-6</v>
      </c>
      <c r="F68" t="s">
        <v>369</v>
      </c>
    </row>
    <row r="69" spans="1:6" x14ac:dyDescent="0.35">
      <c r="A69" t="s">
        <v>117</v>
      </c>
      <c r="B69" t="s">
        <v>370</v>
      </c>
      <c r="C69" t="s">
        <v>325</v>
      </c>
      <c r="D69" s="118">
        <v>0.5</v>
      </c>
      <c r="E69">
        <v>-7</v>
      </c>
      <c r="F69" t="s">
        <v>371</v>
      </c>
    </row>
    <row r="70" spans="1:6" x14ac:dyDescent="0.35">
      <c r="A70" t="s">
        <v>118</v>
      </c>
      <c r="B70" t="s">
        <v>372</v>
      </c>
      <c r="C70" t="s">
        <v>373</v>
      </c>
      <c r="D70" s="118">
        <v>0.39</v>
      </c>
      <c r="E70">
        <v>-5</v>
      </c>
      <c r="F70" t="s">
        <v>355</v>
      </c>
    </row>
    <row r="71" spans="1:6" x14ac:dyDescent="0.35">
      <c r="A71" t="s">
        <v>119</v>
      </c>
      <c r="B71" t="s">
        <v>298</v>
      </c>
      <c r="C71" t="s">
        <v>374</v>
      </c>
      <c r="D71" s="118">
        <v>0.45</v>
      </c>
      <c r="E71">
        <v>-17</v>
      </c>
      <c r="F71" t="s">
        <v>375</v>
      </c>
    </row>
    <row r="72" spans="1:6" x14ac:dyDescent="0.35">
      <c r="A72" t="s">
        <v>120</v>
      </c>
      <c r="B72" t="s">
        <v>376</v>
      </c>
      <c r="C72" t="s">
        <v>377</v>
      </c>
      <c r="D72" s="118">
        <v>0.28999999999999998</v>
      </c>
      <c r="E72">
        <v>-5</v>
      </c>
      <c r="F72" t="s">
        <v>355</v>
      </c>
    </row>
    <row r="73" spans="1:6" x14ac:dyDescent="0.35">
      <c r="A73" t="s">
        <v>121</v>
      </c>
      <c r="B73" t="s">
        <v>378</v>
      </c>
      <c r="C73" t="s">
        <v>379</v>
      </c>
      <c r="D73" s="118">
        <v>0.43</v>
      </c>
      <c r="E73">
        <v>-6</v>
      </c>
      <c r="F73" t="s">
        <v>371</v>
      </c>
    </row>
    <row r="74" spans="1:6" x14ac:dyDescent="0.35">
      <c r="A74" t="s">
        <v>122</v>
      </c>
      <c r="B74" t="s">
        <v>380</v>
      </c>
      <c r="C74" t="s">
        <v>381</v>
      </c>
      <c r="D74" s="118">
        <v>0.43</v>
      </c>
      <c r="E74">
        <v>-5</v>
      </c>
      <c r="F74" t="s">
        <v>355</v>
      </c>
    </row>
    <row r="75" spans="1:6" x14ac:dyDescent="0.35">
      <c r="A75" t="s">
        <v>123</v>
      </c>
      <c r="B75" t="s">
        <v>382</v>
      </c>
      <c r="C75" t="s">
        <v>368</v>
      </c>
      <c r="D75" s="118">
        <v>0.47</v>
      </c>
      <c r="E75">
        <v>-6</v>
      </c>
      <c r="F75" t="s">
        <v>369</v>
      </c>
    </row>
    <row r="76" spans="1:6" x14ac:dyDescent="0.35">
      <c r="A76" t="s">
        <v>124</v>
      </c>
      <c r="B76" t="s">
        <v>383</v>
      </c>
      <c r="C76" t="s">
        <v>384</v>
      </c>
      <c r="D76" s="118">
        <v>0.47</v>
      </c>
      <c r="E76">
        <v>-7</v>
      </c>
      <c r="F76" t="s">
        <v>358</v>
      </c>
    </row>
    <row r="77" spans="1:6" x14ac:dyDescent="0.35">
      <c r="A77" t="s">
        <v>125</v>
      </c>
      <c r="B77" t="s">
        <v>385</v>
      </c>
      <c r="C77" t="s">
        <v>386</v>
      </c>
      <c r="D77" s="118">
        <v>0.47</v>
      </c>
    </row>
    <row r="78" spans="1:6" x14ac:dyDescent="0.35">
      <c r="A78" t="s">
        <v>126</v>
      </c>
      <c r="B78" t="s">
        <v>387</v>
      </c>
      <c r="C78" t="s">
        <v>330</v>
      </c>
      <c r="D78" s="118">
        <v>0.43</v>
      </c>
    </row>
    <row r="79" spans="1:6" x14ac:dyDescent="0.35">
      <c r="A79" t="s">
        <v>127</v>
      </c>
      <c r="B79" t="s">
        <v>388</v>
      </c>
      <c r="C79" t="s">
        <v>389</v>
      </c>
      <c r="D79" s="118">
        <v>0.04</v>
      </c>
    </row>
    <row r="80" spans="1:6" x14ac:dyDescent="0.35">
      <c r="A80" t="s">
        <v>128</v>
      </c>
      <c r="B80" t="s">
        <v>390</v>
      </c>
      <c r="C80" t="s">
        <v>391</v>
      </c>
      <c r="D80" s="118">
        <v>0.49</v>
      </c>
    </row>
    <row r="81" spans="1:6" x14ac:dyDescent="0.35">
      <c r="A81" t="s">
        <v>129</v>
      </c>
      <c r="B81" t="s">
        <v>392</v>
      </c>
      <c r="C81" t="s">
        <v>237</v>
      </c>
      <c r="D81" s="118">
        <v>0.46</v>
      </c>
      <c r="E81">
        <v>-1</v>
      </c>
      <c r="F81" t="s">
        <v>355</v>
      </c>
    </row>
    <row r="82" spans="1:6" x14ac:dyDescent="0.35">
      <c r="A82" t="s">
        <v>130</v>
      </c>
      <c r="B82" t="s">
        <v>393</v>
      </c>
      <c r="C82" t="s">
        <v>394</v>
      </c>
      <c r="D82" s="118">
        <v>0.49</v>
      </c>
      <c r="E82">
        <v>-1</v>
      </c>
      <c r="F82" t="s">
        <v>268</v>
      </c>
    </row>
    <row r="83" spans="1:6" x14ac:dyDescent="0.35">
      <c r="A83" t="s">
        <v>131</v>
      </c>
      <c r="B83" t="s">
        <v>395</v>
      </c>
      <c r="C83" t="s">
        <v>396</v>
      </c>
      <c r="D83" s="118">
        <v>0.36</v>
      </c>
    </row>
    <row r="84" spans="1:6" x14ac:dyDescent="0.35">
      <c r="A84" t="s">
        <v>132</v>
      </c>
      <c r="B84" t="s">
        <v>397</v>
      </c>
      <c r="C84" t="s">
        <v>337</v>
      </c>
      <c r="D84" s="118">
        <v>0.02</v>
      </c>
    </row>
    <row r="85" spans="1:6" x14ac:dyDescent="0.35">
      <c r="A85" t="s">
        <v>133</v>
      </c>
      <c r="B85" t="s">
        <v>398</v>
      </c>
      <c r="C85" t="s">
        <v>290</v>
      </c>
      <c r="D85" s="118">
        <v>0.49</v>
      </c>
      <c r="E85">
        <v>-1</v>
      </c>
      <c r="F85" t="s">
        <v>248</v>
      </c>
    </row>
    <row r="86" spans="1:6" x14ac:dyDescent="0.35">
      <c r="A86" t="s">
        <v>93</v>
      </c>
      <c r="B86" t="s">
        <v>321</v>
      </c>
      <c r="C86" t="s">
        <v>322</v>
      </c>
      <c r="D86" s="118">
        <v>0.42</v>
      </c>
    </row>
    <row r="87" spans="1:6" x14ac:dyDescent="0.35">
      <c r="A87" t="s">
        <v>99</v>
      </c>
      <c r="B87" t="s">
        <v>399</v>
      </c>
      <c r="C87" t="s">
        <v>378</v>
      </c>
      <c r="D87" s="118">
        <v>0.49</v>
      </c>
    </row>
    <row r="88" spans="1:6" x14ac:dyDescent="0.35">
      <c r="A88" t="s">
        <v>134</v>
      </c>
      <c r="B88" t="s">
        <v>400</v>
      </c>
      <c r="C88" t="s">
        <v>337</v>
      </c>
      <c r="D88" s="118">
        <v>0.14000000000000001</v>
      </c>
    </row>
    <row r="89" spans="1:6" x14ac:dyDescent="0.35">
      <c r="A89" t="s">
        <v>135</v>
      </c>
      <c r="B89" t="s">
        <v>401</v>
      </c>
      <c r="C89" t="s">
        <v>402</v>
      </c>
      <c r="D89" s="118">
        <v>0.49</v>
      </c>
    </row>
    <row r="90" spans="1:6" x14ac:dyDescent="0.35">
      <c r="A90" t="s">
        <v>136</v>
      </c>
      <c r="B90" t="s">
        <v>257</v>
      </c>
      <c r="C90" t="s">
        <v>343</v>
      </c>
      <c r="D90" s="118">
        <v>0.11</v>
      </c>
    </row>
    <row r="91" spans="1:6" x14ac:dyDescent="0.35">
      <c r="A91" t="s">
        <v>107</v>
      </c>
      <c r="B91" t="s">
        <v>403</v>
      </c>
      <c r="C91" t="s">
        <v>404</v>
      </c>
      <c r="D91" s="118">
        <v>0.49</v>
      </c>
    </row>
    <row r="92" spans="1:6" x14ac:dyDescent="0.35">
      <c r="A92" t="s">
        <v>137</v>
      </c>
      <c r="B92" t="s">
        <v>405</v>
      </c>
      <c r="C92" t="s">
        <v>337</v>
      </c>
      <c r="D92" s="118">
        <v>0.14000000000000001</v>
      </c>
    </row>
    <row r="93" spans="1:6" x14ac:dyDescent="0.35">
      <c r="A93" t="s">
        <v>138</v>
      </c>
      <c r="B93" t="s">
        <v>406</v>
      </c>
      <c r="C93" t="s">
        <v>407</v>
      </c>
      <c r="D93" s="118">
        <v>0.43</v>
      </c>
    </row>
    <row r="94" spans="1:6" x14ac:dyDescent="0.35">
      <c r="A94" t="s">
        <v>139</v>
      </c>
      <c r="B94" t="s">
        <v>408</v>
      </c>
      <c r="C94" t="s">
        <v>409</v>
      </c>
      <c r="D94" s="118">
        <v>0.5</v>
      </c>
    </row>
    <row r="95" spans="1:6" x14ac:dyDescent="0.35">
      <c r="A95" t="s">
        <v>140</v>
      </c>
      <c r="B95" t="s">
        <v>410</v>
      </c>
      <c r="C95" t="s">
        <v>351</v>
      </c>
      <c r="D95" s="118">
        <v>0.48</v>
      </c>
    </row>
    <row r="96" spans="1:6" x14ac:dyDescent="0.35">
      <c r="A96" t="s">
        <v>141</v>
      </c>
      <c r="B96" t="s">
        <v>411</v>
      </c>
      <c r="C96" t="s">
        <v>412</v>
      </c>
      <c r="D96" s="118">
        <v>0.48</v>
      </c>
    </row>
    <row r="97" spans="1:6" x14ac:dyDescent="0.35">
      <c r="A97" t="s">
        <v>142</v>
      </c>
      <c r="B97" t="s">
        <v>381</v>
      </c>
      <c r="C97" t="s">
        <v>337</v>
      </c>
      <c r="D97" s="118">
        <v>0.47</v>
      </c>
    </row>
    <row r="98" spans="1:6" x14ac:dyDescent="0.35">
      <c r="A98" t="s">
        <v>142</v>
      </c>
      <c r="B98" t="s">
        <v>381</v>
      </c>
      <c r="C98" t="s">
        <v>337</v>
      </c>
      <c r="D98" s="118">
        <v>0.47</v>
      </c>
    </row>
    <row r="99" spans="1:6" x14ac:dyDescent="0.35">
      <c r="A99" t="s">
        <v>143</v>
      </c>
      <c r="B99" t="s">
        <v>330</v>
      </c>
      <c r="C99" t="s">
        <v>413</v>
      </c>
      <c r="D99" s="118">
        <v>0.5</v>
      </c>
    </row>
    <row r="100" spans="1:6" x14ac:dyDescent="0.35">
      <c r="A100" t="s">
        <v>144</v>
      </c>
      <c r="B100" t="s">
        <v>414</v>
      </c>
      <c r="C100" t="s">
        <v>336</v>
      </c>
      <c r="D100" s="118">
        <v>0.08</v>
      </c>
    </row>
    <row r="101" spans="1:6" x14ac:dyDescent="0.35">
      <c r="A101" t="s">
        <v>145</v>
      </c>
      <c r="B101" t="s">
        <v>415</v>
      </c>
      <c r="C101" t="s">
        <v>340</v>
      </c>
      <c r="D101" s="118">
        <v>0.02</v>
      </c>
    </row>
    <row r="102" spans="1:6" x14ac:dyDescent="0.35">
      <c r="A102" t="s">
        <v>146</v>
      </c>
      <c r="B102" t="s">
        <v>416</v>
      </c>
      <c r="C102" t="s">
        <v>417</v>
      </c>
      <c r="D102" s="118">
        <v>0.49</v>
      </c>
    </row>
    <row r="103" spans="1:6" x14ac:dyDescent="0.35">
      <c r="A103" t="s">
        <v>147</v>
      </c>
      <c r="B103" t="s">
        <v>418</v>
      </c>
      <c r="C103" t="s">
        <v>273</v>
      </c>
      <c r="D103" s="118">
        <v>0.04</v>
      </c>
    </row>
    <row r="104" spans="1:6" x14ac:dyDescent="0.35">
      <c r="A104" t="s">
        <v>148</v>
      </c>
      <c r="B104" t="s">
        <v>419</v>
      </c>
      <c r="C104" t="s">
        <v>420</v>
      </c>
      <c r="D104" s="118">
        <v>0.49</v>
      </c>
    </row>
    <row r="105" spans="1:6" x14ac:dyDescent="0.35">
      <c r="A105" t="s">
        <v>149</v>
      </c>
      <c r="B105" t="s">
        <v>421</v>
      </c>
      <c r="C105" t="s">
        <v>422</v>
      </c>
      <c r="D105" s="118">
        <v>0.42</v>
      </c>
    </row>
    <row r="106" spans="1:6" x14ac:dyDescent="0.35">
      <c r="A106" t="s">
        <v>150</v>
      </c>
      <c r="B106" t="s">
        <v>423</v>
      </c>
      <c r="C106" t="s">
        <v>424</v>
      </c>
      <c r="D106" s="118">
        <v>0.21</v>
      </c>
      <c r="E106">
        <v>-1</v>
      </c>
      <c r="F106" t="s">
        <v>268</v>
      </c>
    </row>
    <row r="107" spans="1:6" x14ac:dyDescent="0.35">
      <c r="A107" t="s">
        <v>151</v>
      </c>
      <c r="B107" t="s">
        <v>425</v>
      </c>
      <c r="C107" t="s">
        <v>426</v>
      </c>
      <c r="D107" s="118">
        <v>0.41</v>
      </c>
    </row>
    <row r="108" spans="1:6" x14ac:dyDescent="0.35">
      <c r="A108" t="s">
        <v>152</v>
      </c>
      <c r="B108" t="s">
        <v>427</v>
      </c>
      <c r="C108" t="s">
        <v>428</v>
      </c>
      <c r="D108" s="118">
        <v>0.01</v>
      </c>
    </row>
    <row r="109" spans="1:6" x14ac:dyDescent="0.35">
      <c r="A109" t="s">
        <v>153</v>
      </c>
      <c r="B109" t="s">
        <v>429</v>
      </c>
      <c r="C109" t="s">
        <v>430</v>
      </c>
      <c r="D109" s="118">
        <v>0.24</v>
      </c>
    </row>
    <row r="110" spans="1:6" x14ac:dyDescent="0.35">
      <c r="A110" t="s">
        <v>154</v>
      </c>
      <c r="B110" t="s">
        <v>431</v>
      </c>
      <c r="C110" t="s">
        <v>432</v>
      </c>
      <c r="D110" s="118">
        <v>0.34</v>
      </c>
    </row>
    <row r="111" spans="1:6" x14ac:dyDescent="0.35">
      <c r="A111" t="s">
        <v>155</v>
      </c>
      <c r="B111" t="s">
        <v>326</v>
      </c>
      <c r="C111" t="s">
        <v>433</v>
      </c>
      <c r="D111" s="118">
        <v>0.34</v>
      </c>
    </row>
    <row r="112" spans="1:6" x14ac:dyDescent="0.35">
      <c r="A112" t="s">
        <v>156</v>
      </c>
      <c r="B112" t="s">
        <v>434</v>
      </c>
      <c r="C112" t="s">
        <v>337</v>
      </c>
      <c r="D112" s="118">
        <v>0.02</v>
      </c>
    </row>
    <row r="113" spans="1:6" x14ac:dyDescent="0.35">
      <c r="A113" t="s">
        <v>157</v>
      </c>
      <c r="B113" t="s">
        <v>435</v>
      </c>
      <c r="C113" t="s">
        <v>389</v>
      </c>
      <c r="D113" s="118">
        <v>0.02</v>
      </c>
    </row>
    <row r="114" spans="1:6" x14ac:dyDescent="0.35">
      <c r="A114" t="s">
        <v>158</v>
      </c>
      <c r="B114" t="s">
        <v>332</v>
      </c>
      <c r="C114" t="s">
        <v>436</v>
      </c>
      <c r="D114" s="118">
        <v>0.64</v>
      </c>
    </row>
    <row r="115" spans="1:6" x14ac:dyDescent="0.35">
      <c r="A115" t="s">
        <v>159</v>
      </c>
      <c r="B115" t="s">
        <v>391</v>
      </c>
      <c r="C115" t="s">
        <v>343</v>
      </c>
      <c r="D115" s="118">
        <v>0.5</v>
      </c>
      <c r="E115">
        <v>-1</v>
      </c>
      <c r="F115" t="s">
        <v>437</v>
      </c>
    </row>
    <row r="116" spans="1:6" x14ac:dyDescent="0.35">
      <c r="A116" t="s">
        <v>160</v>
      </c>
      <c r="B116" t="s">
        <v>438</v>
      </c>
      <c r="C116" t="s">
        <v>439</v>
      </c>
      <c r="D116" s="118">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17F7-6C19-49C2-88AB-2071905E7C09}">
  <sheetPr>
    <tabColor theme="5" tint="0.39997558519241921"/>
  </sheetPr>
  <dimension ref="B2:D142"/>
  <sheetViews>
    <sheetView showGridLines="0" topLeftCell="A129" workbookViewId="0">
      <selection activeCell="C157" sqref="C157"/>
    </sheetView>
  </sheetViews>
  <sheetFormatPr defaultRowHeight="14.5" x14ac:dyDescent="0.35"/>
  <cols>
    <col min="2" max="2" width="33.36328125" customWidth="1"/>
    <col min="3" max="3" width="43.1796875" customWidth="1"/>
    <col min="4" max="4" width="95.81640625" customWidth="1"/>
  </cols>
  <sheetData>
    <row r="2" spans="2:4" s="119" customFormat="1" x14ac:dyDescent="0.35">
      <c r="B2" s="119" t="s">
        <v>440</v>
      </c>
    </row>
    <row r="3" spans="2:4" x14ac:dyDescent="0.35">
      <c r="B3" t="s">
        <v>441</v>
      </c>
    </row>
    <row r="4" spans="2:4" x14ac:dyDescent="0.35">
      <c r="B4" t="s">
        <v>442</v>
      </c>
    </row>
    <row r="6" spans="2:4" s="119" customFormat="1" x14ac:dyDescent="0.35">
      <c r="B6" s="119" t="s">
        <v>443</v>
      </c>
    </row>
    <row r="7" spans="2:4" x14ac:dyDescent="0.35">
      <c r="B7" t="s">
        <v>444</v>
      </c>
    </row>
    <row r="8" spans="2:4" x14ac:dyDescent="0.35">
      <c r="B8" t="s">
        <v>445</v>
      </c>
    </row>
    <row r="9" spans="2:4" x14ac:dyDescent="0.35">
      <c r="B9" t="s">
        <v>446</v>
      </c>
    </row>
    <row r="11" spans="2:4" s="119" customFormat="1" x14ac:dyDescent="0.35">
      <c r="B11" s="119" t="s">
        <v>447</v>
      </c>
    </row>
    <row r="12" spans="2:4" x14ac:dyDescent="0.35">
      <c r="B12" t="s">
        <v>574</v>
      </c>
    </row>
    <row r="13" spans="2:4" x14ac:dyDescent="0.35">
      <c r="B13" t="s">
        <v>448</v>
      </c>
    </row>
    <row r="15" spans="2:4" s="119" customFormat="1" x14ac:dyDescent="0.35">
      <c r="B15" s="119" t="s">
        <v>449</v>
      </c>
      <c r="C15" s="119" t="s">
        <v>450</v>
      </c>
      <c r="D15" s="119" t="s">
        <v>451</v>
      </c>
    </row>
    <row r="16" spans="2:4" ht="29" x14ac:dyDescent="0.35">
      <c r="B16" t="s">
        <v>452</v>
      </c>
      <c r="C16" s="122" t="s">
        <v>453</v>
      </c>
      <c r="D16" t="s">
        <v>454</v>
      </c>
    </row>
    <row r="17" spans="2:4" ht="29" x14ac:dyDescent="0.35">
      <c r="B17" t="s">
        <v>455</v>
      </c>
      <c r="C17" s="122" t="s">
        <v>456</v>
      </c>
      <c r="D17" t="s">
        <v>457</v>
      </c>
    </row>
    <row r="18" spans="2:4" ht="29" x14ac:dyDescent="0.35">
      <c r="B18" t="s">
        <v>458</v>
      </c>
      <c r="C18" s="122" t="s">
        <v>459</v>
      </c>
      <c r="D18" t="s">
        <v>460</v>
      </c>
    </row>
    <row r="19" spans="2:4" ht="29" x14ac:dyDescent="0.35">
      <c r="B19" t="s">
        <v>461</v>
      </c>
      <c r="C19" s="122" t="s">
        <v>462</v>
      </c>
      <c r="D19" t="s">
        <v>463</v>
      </c>
    </row>
    <row r="20" spans="2:4" ht="29" x14ac:dyDescent="0.35">
      <c r="B20" t="s">
        <v>464</v>
      </c>
      <c r="C20" s="122" t="s">
        <v>465</v>
      </c>
      <c r="D20" t="s">
        <v>466</v>
      </c>
    </row>
    <row r="21" spans="2:4" ht="29" x14ac:dyDescent="0.35">
      <c r="B21" t="s">
        <v>467</v>
      </c>
      <c r="C21" s="122" t="s">
        <v>468</v>
      </c>
      <c r="D21" t="s">
        <v>469</v>
      </c>
    </row>
    <row r="23" spans="2:4" x14ac:dyDescent="0.35">
      <c r="B23" t="s">
        <v>470</v>
      </c>
    </row>
    <row r="25" spans="2:4" s="119" customFormat="1" x14ac:dyDescent="0.35">
      <c r="B25" s="119" t="s">
        <v>471</v>
      </c>
    </row>
    <row r="26" spans="2:4" x14ac:dyDescent="0.35">
      <c r="B26" t="s">
        <v>472</v>
      </c>
    </row>
    <row r="28" spans="2:4" x14ac:dyDescent="0.35">
      <c r="B28" t="s">
        <v>473</v>
      </c>
      <c r="C28" t="s">
        <v>474</v>
      </c>
      <c r="D28" t="s">
        <v>475</v>
      </c>
    </row>
    <row r="29" spans="2:4" x14ac:dyDescent="0.35">
      <c r="B29" t="s">
        <v>45</v>
      </c>
      <c r="C29" t="s">
        <v>476</v>
      </c>
      <c r="D29" t="s">
        <v>601</v>
      </c>
    </row>
    <row r="30" spans="2:4" x14ac:dyDescent="0.35">
      <c r="B30" t="s">
        <v>46</v>
      </c>
      <c r="C30" t="s">
        <v>477</v>
      </c>
      <c r="D30" t="s">
        <v>600</v>
      </c>
    </row>
    <row r="31" spans="2:4" x14ac:dyDescent="0.35">
      <c r="B31" t="s">
        <v>26</v>
      </c>
      <c r="C31" t="s">
        <v>478</v>
      </c>
      <c r="D31" t="s">
        <v>608</v>
      </c>
    </row>
    <row r="32" spans="2:4" x14ac:dyDescent="0.35">
      <c r="B32" t="s">
        <v>28</v>
      </c>
      <c r="C32" t="s">
        <v>479</v>
      </c>
      <c r="D32" t="s">
        <v>599</v>
      </c>
    </row>
    <row r="33" spans="2:4" x14ac:dyDescent="0.35">
      <c r="B33" t="s">
        <v>50</v>
      </c>
      <c r="C33" t="s">
        <v>480</v>
      </c>
      <c r="D33" s="121" t="s">
        <v>598</v>
      </c>
    </row>
    <row r="35" spans="2:4" s="119" customFormat="1" x14ac:dyDescent="0.35">
      <c r="B35" s="119" t="s">
        <v>481</v>
      </c>
    </row>
    <row r="36" spans="2:4" x14ac:dyDescent="0.35">
      <c r="B36" t="s">
        <v>482</v>
      </c>
    </row>
    <row r="37" spans="2:4" x14ac:dyDescent="0.35">
      <c r="B37" t="s">
        <v>575</v>
      </c>
    </row>
    <row r="38" spans="2:4" x14ac:dyDescent="0.35">
      <c r="B38" t="s">
        <v>576</v>
      </c>
    </row>
    <row r="40" spans="2:4" s="119" customFormat="1" x14ac:dyDescent="0.35">
      <c r="B40" s="119" t="s">
        <v>483</v>
      </c>
    </row>
    <row r="41" spans="2:4" s="119" customFormat="1" x14ac:dyDescent="0.35">
      <c r="B41" s="119" t="s">
        <v>484</v>
      </c>
    </row>
    <row r="42" spans="2:4" x14ac:dyDescent="0.35">
      <c r="B42" t="s">
        <v>485</v>
      </c>
    </row>
    <row r="44" spans="2:4" s="119" customFormat="1" x14ac:dyDescent="0.35">
      <c r="B44" s="119" t="s">
        <v>486</v>
      </c>
      <c r="C44" s="119" t="s">
        <v>487</v>
      </c>
      <c r="D44" s="119" t="s">
        <v>488</v>
      </c>
    </row>
    <row r="45" spans="2:4" x14ac:dyDescent="0.35">
      <c r="B45" t="s">
        <v>164</v>
      </c>
      <c r="C45" t="s">
        <v>165</v>
      </c>
      <c r="D45" t="s">
        <v>489</v>
      </c>
    </row>
    <row r="46" spans="2:4" x14ac:dyDescent="0.35">
      <c r="B46" t="s">
        <v>490</v>
      </c>
      <c r="C46" t="s">
        <v>167</v>
      </c>
      <c r="D46" s="101" t="s">
        <v>602</v>
      </c>
    </row>
    <row r="47" spans="2:4" x14ac:dyDescent="0.35">
      <c r="B47" t="s">
        <v>491</v>
      </c>
      <c r="C47" t="s">
        <v>167</v>
      </c>
      <c r="D47" s="101" t="s">
        <v>603</v>
      </c>
    </row>
    <row r="48" spans="2:4" x14ac:dyDescent="0.35">
      <c r="B48" t="s">
        <v>492</v>
      </c>
      <c r="C48" t="s">
        <v>167</v>
      </c>
      <c r="D48" t="s">
        <v>604</v>
      </c>
    </row>
    <row r="49" spans="2:4" x14ac:dyDescent="0.35">
      <c r="B49" t="s">
        <v>493</v>
      </c>
      <c r="C49" t="s">
        <v>170</v>
      </c>
      <c r="D49" t="s">
        <v>494</v>
      </c>
    </row>
    <row r="50" spans="2:4" x14ac:dyDescent="0.35">
      <c r="B50" t="s">
        <v>171</v>
      </c>
      <c r="C50" t="s">
        <v>172</v>
      </c>
      <c r="D50" s="101" t="s">
        <v>605</v>
      </c>
    </row>
    <row r="51" spans="2:4" x14ac:dyDescent="0.35">
      <c r="B51" t="s">
        <v>177</v>
      </c>
      <c r="C51" t="s">
        <v>178</v>
      </c>
      <c r="D51" t="s">
        <v>606</v>
      </c>
    </row>
    <row r="52" spans="2:4" x14ac:dyDescent="0.35">
      <c r="B52" t="s">
        <v>495</v>
      </c>
      <c r="C52" t="s">
        <v>178</v>
      </c>
      <c r="D52" t="s">
        <v>607</v>
      </c>
    </row>
    <row r="53" spans="2:4" x14ac:dyDescent="0.35">
      <c r="B53" t="s">
        <v>496</v>
      </c>
      <c r="C53" t="s">
        <v>170</v>
      </c>
      <c r="D53" t="s">
        <v>497</v>
      </c>
    </row>
    <row r="54" spans="2:4" x14ac:dyDescent="0.35">
      <c r="B54" t="s">
        <v>185</v>
      </c>
      <c r="C54" t="s">
        <v>186</v>
      </c>
      <c r="D54" t="s">
        <v>498</v>
      </c>
    </row>
    <row r="56" spans="2:4" s="119" customFormat="1" x14ac:dyDescent="0.35">
      <c r="B56" s="119" t="s">
        <v>499</v>
      </c>
    </row>
    <row r="57" spans="2:4" x14ac:dyDescent="0.35">
      <c r="B57" t="s">
        <v>500</v>
      </c>
    </row>
    <row r="59" spans="2:4" x14ac:dyDescent="0.35">
      <c r="B59" t="s">
        <v>577</v>
      </c>
    </row>
    <row r="60" spans="2:4" x14ac:dyDescent="0.35">
      <c r="B60" t="s">
        <v>578</v>
      </c>
    </row>
    <row r="61" spans="2:4" x14ac:dyDescent="0.35">
      <c r="B61" t="s">
        <v>579</v>
      </c>
    </row>
    <row r="62" spans="2:4" x14ac:dyDescent="0.35">
      <c r="B62" t="s">
        <v>580</v>
      </c>
    </row>
    <row r="63" spans="2:4" x14ac:dyDescent="0.35">
      <c r="B63" t="s">
        <v>501</v>
      </c>
    </row>
    <row r="64" spans="2:4" s="119" customFormat="1" x14ac:dyDescent="0.35">
      <c r="B64" s="119" t="s">
        <v>502</v>
      </c>
    </row>
    <row r="65" spans="2:2" s="119" customFormat="1" x14ac:dyDescent="0.35">
      <c r="B65" s="119" t="s">
        <v>503</v>
      </c>
    </row>
    <row r="66" spans="2:2" x14ac:dyDescent="0.35">
      <c r="B66" t="s">
        <v>504</v>
      </c>
    </row>
    <row r="67" spans="2:2" x14ac:dyDescent="0.35">
      <c r="B67" t="s">
        <v>505</v>
      </c>
    </row>
    <row r="68" spans="2:2" x14ac:dyDescent="0.35">
      <c r="B68" t="s">
        <v>581</v>
      </c>
    </row>
    <row r="69" spans="2:2" x14ac:dyDescent="0.35">
      <c r="B69" t="s">
        <v>582</v>
      </c>
    </row>
    <row r="70" spans="2:2" s="119" customFormat="1" x14ac:dyDescent="0.35">
      <c r="B70" s="119" t="s">
        <v>506</v>
      </c>
    </row>
    <row r="71" spans="2:2" x14ac:dyDescent="0.35">
      <c r="B71" t="s">
        <v>507</v>
      </c>
    </row>
    <row r="73" spans="2:2" s="119" customFormat="1" x14ac:dyDescent="0.35">
      <c r="B73" s="119" t="s">
        <v>508</v>
      </c>
    </row>
    <row r="74" spans="2:2" x14ac:dyDescent="0.35">
      <c r="B74" t="s">
        <v>509</v>
      </c>
    </row>
    <row r="76" spans="2:2" s="119" customFormat="1" x14ac:dyDescent="0.35">
      <c r="B76" s="119" t="s">
        <v>510</v>
      </c>
    </row>
    <row r="77" spans="2:2" s="119" customFormat="1" x14ac:dyDescent="0.35">
      <c r="B77" s="119" t="s">
        <v>511</v>
      </c>
    </row>
    <row r="78" spans="2:2" x14ac:dyDescent="0.35">
      <c r="B78" t="s">
        <v>512</v>
      </c>
    </row>
    <row r="80" spans="2:2" s="119" customFormat="1" x14ac:dyDescent="0.35">
      <c r="B80" s="119" t="s">
        <v>513</v>
      </c>
    </row>
    <row r="81" spans="2:4" x14ac:dyDescent="0.35">
      <c r="B81" t="s">
        <v>514</v>
      </c>
    </row>
    <row r="83" spans="2:4" s="119" customFormat="1" x14ac:dyDescent="0.35">
      <c r="B83" s="119" t="s">
        <v>515</v>
      </c>
    </row>
    <row r="85" spans="2:4" s="119" customFormat="1" x14ac:dyDescent="0.35">
      <c r="B85" s="119" t="s">
        <v>516</v>
      </c>
      <c r="C85" s="119" t="s">
        <v>517</v>
      </c>
      <c r="D85" s="119" t="s">
        <v>518</v>
      </c>
    </row>
    <row r="86" spans="2:4" ht="43.5" x14ac:dyDescent="0.35">
      <c r="B86" t="s">
        <v>519</v>
      </c>
      <c r="C86" t="s">
        <v>520</v>
      </c>
      <c r="D86" s="122" t="s">
        <v>521</v>
      </c>
    </row>
    <row r="87" spans="2:4" ht="43.5" x14ac:dyDescent="0.35">
      <c r="B87" t="s">
        <v>522</v>
      </c>
      <c r="C87" t="s">
        <v>523</v>
      </c>
      <c r="D87" s="122" t="s">
        <v>524</v>
      </c>
    </row>
    <row r="88" spans="2:4" ht="43.5" x14ac:dyDescent="0.35">
      <c r="B88" t="s">
        <v>525</v>
      </c>
      <c r="C88" t="s">
        <v>526</v>
      </c>
      <c r="D88" s="122" t="s">
        <v>527</v>
      </c>
    </row>
    <row r="89" spans="2:4" ht="43.5" x14ac:dyDescent="0.35">
      <c r="B89" t="s">
        <v>528</v>
      </c>
      <c r="C89" t="s">
        <v>529</v>
      </c>
      <c r="D89" s="122" t="s">
        <v>530</v>
      </c>
    </row>
    <row r="91" spans="2:4" x14ac:dyDescent="0.35">
      <c r="B91" t="s">
        <v>531</v>
      </c>
    </row>
    <row r="92" spans="2:4" x14ac:dyDescent="0.35">
      <c r="B92" t="s">
        <v>532</v>
      </c>
    </row>
    <row r="94" spans="2:4" s="119" customFormat="1" x14ac:dyDescent="0.35">
      <c r="B94" s="119" t="s">
        <v>533</v>
      </c>
    </row>
    <row r="95" spans="2:4" s="119" customFormat="1" x14ac:dyDescent="0.35">
      <c r="B95" s="119" t="s">
        <v>534</v>
      </c>
    </row>
    <row r="96" spans="2:4" x14ac:dyDescent="0.35">
      <c r="B96" t="s">
        <v>535</v>
      </c>
    </row>
    <row r="97" spans="2:4" s="119" customFormat="1" x14ac:dyDescent="0.35">
      <c r="B97" s="119" t="s">
        <v>536</v>
      </c>
    </row>
    <row r="98" spans="2:4" x14ac:dyDescent="0.35">
      <c r="B98" t="s">
        <v>537</v>
      </c>
    </row>
    <row r="99" spans="2:4" x14ac:dyDescent="0.35">
      <c r="B99" t="s">
        <v>583</v>
      </c>
    </row>
    <row r="100" spans="2:4" x14ac:dyDescent="0.35">
      <c r="B100" t="s">
        <v>584</v>
      </c>
    </row>
    <row r="101" spans="2:4" x14ac:dyDescent="0.35">
      <c r="B101" t="s">
        <v>585</v>
      </c>
    </row>
    <row r="102" spans="2:4" x14ac:dyDescent="0.35">
      <c r="B102" t="s">
        <v>586</v>
      </c>
    </row>
    <row r="103" spans="2:4" x14ac:dyDescent="0.35">
      <c r="B103" t="s">
        <v>587</v>
      </c>
    </row>
    <row r="104" spans="2:4" x14ac:dyDescent="0.35">
      <c r="B104" t="s">
        <v>588</v>
      </c>
    </row>
    <row r="106" spans="2:4" s="119" customFormat="1" x14ac:dyDescent="0.35">
      <c r="B106" s="119" t="s">
        <v>538</v>
      </c>
    </row>
    <row r="107" spans="2:4" x14ac:dyDescent="0.35">
      <c r="B107" t="s">
        <v>539</v>
      </c>
    </row>
    <row r="109" spans="2:4" s="119" customFormat="1" x14ac:dyDescent="0.35">
      <c r="B109" s="119" t="s">
        <v>540</v>
      </c>
      <c r="C109" s="119" t="s">
        <v>541</v>
      </c>
      <c r="D109" s="120" t="s">
        <v>542</v>
      </c>
    </row>
    <row r="110" spans="2:4" ht="29" x14ac:dyDescent="0.35">
      <c r="B110" t="s">
        <v>543</v>
      </c>
      <c r="C110" t="s">
        <v>544</v>
      </c>
      <c r="D110" s="122" t="s">
        <v>545</v>
      </c>
    </row>
    <row r="111" spans="2:4" ht="29" x14ac:dyDescent="0.35">
      <c r="B111" t="s">
        <v>546</v>
      </c>
      <c r="C111" t="s">
        <v>547</v>
      </c>
      <c r="D111" s="122" t="s">
        <v>548</v>
      </c>
    </row>
    <row r="112" spans="2:4" ht="29" x14ac:dyDescent="0.35">
      <c r="B112" t="s">
        <v>549</v>
      </c>
      <c r="C112" t="s">
        <v>544</v>
      </c>
      <c r="D112" s="122" t="s">
        <v>550</v>
      </c>
    </row>
    <row r="113" spans="2:4" ht="29" x14ac:dyDescent="0.35">
      <c r="B113" t="s">
        <v>551</v>
      </c>
      <c r="C113" t="s">
        <v>552</v>
      </c>
      <c r="D113" s="122" t="s">
        <v>553</v>
      </c>
    </row>
    <row r="115" spans="2:4" s="119" customFormat="1" x14ac:dyDescent="0.35">
      <c r="B115" s="119" t="s">
        <v>554</v>
      </c>
    </row>
    <row r="116" spans="2:4" x14ac:dyDescent="0.35">
      <c r="B116" t="s">
        <v>555</v>
      </c>
    </row>
    <row r="118" spans="2:4" s="119" customFormat="1" x14ac:dyDescent="0.35">
      <c r="B118" s="119" t="s">
        <v>556</v>
      </c>
    </row>
    <row r="119" spans="2:4" s="119" customFormat="1" x14ac:dyDescent="0.35">
      <c r="B119" s="119" t="s">
        <v>557</v>
      </c>
    </row>
    <row r="120" spans="2:4" x14ac:dyDescent="0.35">
      <c r="B120" t="s">
        <v>558</v>
      </c>
    </row>
    <row r="122" spans="2:4" s="119" customFormat="1" x14ac:dyDescent="0.35">
      <c r="B122" s="119" t="s">
        <v>559</v>
      </c>
    </row>
    <row r="123" spans="2:4" x14ac:dyDescent="0.35">
      <c r="B123" t="s">
        <v>560</v>
      </c>
    </row>
    <row r="125" spans="2:4" s="119" customFormat="1" x14ac:dyDescent="0.35">
      <c r="B125" s="119" t="s">
        <v>561</v>
      </c>
      <c r="C125" s="119" t="s">
        <v>562</v>
      </c>
      <c r="D125" s="120" t="s">
        <v>563</v>
      </c>
    </row>
    <row r="126" spans="2:4" ht="29" x14ac:dyDescent="0.35">
      <c r="B126" t="s">
        <v>26</v>
      </c>
      <c r="C126" t="s">
        <v>564</v>
      </c>
      <c r="D126" s="122" t="s">
        <v>565</v>
      </c>
    </row>
    <row r="127" spans="2:4" ht="29" x14ac:dyDescent="0.35">
      <c r="B127" t="s">
        <v>28</v>
      </c>
      <c r="C127" t="s">
        <v>566</v>
      </c>
      <c r="D127" s="122" t="s">
        <v>567</v>
      </c>
    </row>
    <row r="128" spans="2:4" ht="29" x14ac:dyDescent="0.35">
      <c r="B128" t="s">
        <v>50</v>
      </c>
      <c r="C128" t="s">
        <v>568</v>
      </c>
      <c r="D128" s="122" t="s">
        <v>569</v>
      </c>
    </row>
    <row r="130" spans="2:2" s="119" customFormat="1" x14ac:dyDescent="0.35">
      <c r="B130" s="119" t="s">
        <v>570</v>
      </c>
    </row>
    <row r="131" spans="2:2" s="119" customFormat="1" x14ac:dyDescent="0.35">
      <c r="B131" s="119" t="s">
        <v>571</v>
      </c>
    </row>
    <row r="132" spans="2:2" x14ac:dyDescent="0.35">
      <c r="B132" t="s">
        <v>589</v>
      </c>
    </row>
    <row r="133" spans="2:2" x14ac:dyDescent="0.35">
      <c r="B133" t="s">
        <v>590</v>
      </c>
    </row>
    <row r="134" spans="2:2" x14ac:dyDescent="0.35">
      <c r="B134" t="s">
        <v>591</v>
      </c>
    </row>
    <row r="135" spans="2:2" s="119" customFormat="1" x14ac:dyDescent="0.35">
      <c r="B135" s="119" t="s">
        <v>572</v>
      </c>
    </row>
    <row r="136" spans="2:2" x14ac:dyDescent="0.35">
      <c r="B136" t="s">
        <v>592</v>
      </c>
    </row>
    <row r="137" spans="2:2" x14ac:dyDescent="0.35">
      <c r="B137" t="s">
        <v>593</v>
      </c>
    </row>
    <row r="138" spans="2:2" x14ac:dyDescent="0.35">
      <c r="B138" t="s">
        <v>594</v>
      </c>
    </row>
    <row r="139" spans="2:2" s="119" customFormat="1" x14ac:dyDescent="0.35">
      <c r="B139" s="119" t="s">
        <v>573</v>
      </c>
    </row>
    <row r="140" spans="2:2" x14ac:dyDescent="0.35">
      <c r="B140" t="s">
        <v>595</v>
      </c>
    </row>
    <row r="141" spans="2:2" x14ac:dyDescent="0.35">
      <c r="B141" t="s">
        <v>596</v>
      </c>
    </row>
    <row r="142" spans="2:2" x14ac:dyDescent="0.35">
      <c r="B142" t="s">
        <v>597</v>
      </c>
    </row>
  </sheetData>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K112"/>
  <sheetViews>
    <sheetView showGridLines="0" workbookViewId="0">
      <pane ySplit="1" topLeftCell="A24" activePane="bottomLeft" state="frozen"/>
      <selection pane="bottomLeft" activeCell="B114" sqref="B114"/>
    </sheetView>
  </sheetViews>
  <sheetFormatPr defaultRowHeight="14.5" x14ac:dyDescent="0.35"/>
  <cols>
    <col min="1" max="1" width="52.1796875" customWidth="1"/>
    <col min="2" max="2" width="17.54296875" customWidth="1"/>
    <col min="3" max="3" width="16.1796875" customWidth="1"/>
    <col min="4" max="4" width="21.1796875" customWidth="1"/>
    <col min="5" max="5" width="12" customWidth="1"/>
    <col min="6" max="6" width="16" customWidth="1"/>
    <col min="7" max="7" width="10" customWidth="1"/>
    <col min="8" max="8" width="15.54296875" customWidth="1"/>
    <col min="9" max="9" width="13" customWidth="1"/>
    <col min="10" max="10" width="16" customWidth="1"/>
    <col min="11" max="11" width="17.1796875" customWidth="1"/>
  </cols>
  <sheetData>
    <row r="1" spans="1:11" x14ac:dyDescent="0.35">
      <c r="A1" s="106" t="s">
        <v>42</v>
      </c>
      <c r="B1" s="107" t="s">
        <v>43</v>
      </c>
      <c r="C1" s="107" t="s">
        <v>44</v>
      </c>
      <c r="D1" s="107" t="s">
        <v>45</v>
      </c>
      <c r="E1" s="107" t="s">
        <v>46</v>
      </c>
      <c r="F1" s="107" t="s">
        <v>26</v>
      </c>
      <c r="G1" s="107" t="s">
        <v>47</v>
      </c>
      <c r="H1" s="107" t="s">
        <v>48</v>
      </c>
      <c r="I1" s="107" t="s">
        <v>49</v>
      </c>
      <c r="J1" s="107" t="s">
        <v>28</v>
      </c>
      <c r="K1" s="108" t="s">
        <v>50</v>
      </c>
    </row>
    <row r="2" spans="1:11" x14ac:dyDescent="0.35">
      <c r="A2" s="102" t="s">
        <v>51</v>
      </c>
      <c r="B2" s="55">
        <v>950</v>
      </c>
      <c r="C2" s="55">
        <v>1525</v>
      </c>
      <c r="D2" s="55">
        <v>575</v>
      </c>
      <c r="E2" s="56">
        <v>0.37704918032786899</v>
      </c>
      <c r="F2" s="57" t="s">
        <v>13</v>
      </c>
      <c r="G2" s="57">
        <v>2</v>
      </c>
      <c r="H2" s="58">
        <v>4.5</v>
      </c>
      <c r="I2" s="57" t="s">
        <v>52</v>
      </c>
      <c r="J2" s="57" t="s">
        <v>10</v>
      </c>
      <c r="K2" s="104" t="s">
        <v>13</v>
      </c>
    </row>
    <row r="3" spans="1:11" x14ac:dyDescent="0.35">
      <c r="A3" s="103" t="s">
        <v>53</v>
      </c>
      <c r="B3" s="59">
        <v>527</v>
      </c>
      <c r="C3" s="59">
        <v>999</v>
      </c>
      <c r="D3" s="59">
        <v>472</v>
      </c>
      <c r="E3" s="60">
        <v>0.47247247247247298</v>
      </c>
      <c r="F3" s="61" t="s">
        <v>11</v>
      </c>
      <c r="G3" s="61">
        <v>14</v>
      </c>
      <c r="H3" s="62">
        <v>4.0999999999999996</v>
      </c>
      <c r="I3" s="61" t="s">
        <v>12</v>
      </c>
      <c r="J3" s="61" t="s">
        <v>12</v>
      </c>
      <c r="K3" s="105" t="s">
        <v>11</v>
      </c>
    </row>
    <row r="4" spans="1:11" x14ac:dyDescent="0.35">
      <c r="A4" s="102" t="s">
        <v>54</v>
      </c>
      <c r="B4" s="55">
        <v>2199</v>
      </c>
      <c r="C4" s="55">
        <v>2923</v>
      </c>
      <c r="D4" s="55">
        <v>724</v>
      </c>
      <c r="E4" s="56">
        <v>0.24769072870338699</v>
      </c>
      <c r="F4" s="57" t="s">
        <v>13</v>
      </c>
      <c r="G4" s="57">
        <v>24</v>
      </c>
      <c r="H4" s="58">
        <v>4.5999999999999996</v>
      </c>
      <c r="I4" s="57" t="s">
        <v>52</v>
      </c>
      <c r="J4" s="57" t="s">
        <v>10</v>
      </c>
      <c r="K4" s="104" t="s">
        <v>13</v>
      </c>
    </row>
    <row r="5" spans="1:11" x14ac:dyDescent="0.35">
      <c r="A5" s="103" t="s">
        <v>55</v>
      </c>
      <c r="B5" s="59">
        <v>1580</v>
      </c>
      <c r="C5" s="59">
        <v>2499</v>
      </c>
      <c r="D5" s="59">
        <v>919</v>
      </c>
      <c r="E5" s="60">
        <v>0.36774709883953599</v>
      </c>
      <c r="F5" s="61" t="s">
        <v>13</v>
      </c>
      <c r="G5" s="61">
        <v>7</v>
      </c>
      <c r="H5" s="62">
        <v>4.7</v>
      </c>
      <c r="I5" s="61" t="s">
        <v>52</v>
      </c>
      <c r="J5" s="61" t="s">
        <v>10</v>
      </c>
      <c r="K5" s="105" t="s">
        <v>13</v>
      </c>
    </row>
    <row r="6" spans="1:11" x14ac:dyDescent="0.35">
      <c r="A6" s="102" t="s">
        <v>56</v>
      </c>
      <c r="B6" s="55">
        <v>1740</v>
      </c>
      <c r="C6" s="55">
        <v>2356</v>
      </c>
      <c r="D6" s="55">
        <v>616</v>
      </c>
      <c r="E6" s="56">
        <v>0.26146010186757201</v>
      </c>
      <c r="F6" s="57" t="s">
        <v>13</v>
      </c>
      <c r="G6" s="57">
        <v>5</v>
      </c>
      <c r="H6" s="58">
        <v>4.8</v>
      </c>
      <c r="I6" s="57" t="s">
        <v>52</v>
      </c>
      <c r="J6" s="57" t="s">
        <v>10</v>
      </c>
      <c r="K6" s="104" t="s">
        <v>13</v>
      </c>
    </row>
    <row r="7" spans="1:11" x14ac:dyDescent="0.35">
      <c r="A7" s="103" t="s">
        <v>57</v>
      </c>
      <c r="B7" s="59">
        <v>2999</v>
      </c>
      <c r="C7" s="59">
        <v>3290</v>
      </c>
      <c r="D7" s="59">
        <v>291</v>
      </c>
      <c r="E7" s="60">
        <v>8.8449848024316102E-2</v>
      </c>
      <c r="F7" s="61" t="s">
        <v>15</v>
      </c>
      <c r="G7" s="61">
        <v>15</v>
      </c>
      <c r="H7" s="62">
        <v>4</v>
      </c>
      <c r="I7" s="61" t="s">
        <v>12</v>
      </c>
      <c r="J7" s="61" t="s">
        <v>12</v>
      </c>
      <c r="K7" s="105" t="s">
        <v>15</v>
      </c>
    </row>
    <row r="8" spans="1:11" x14ac:dyDescent="0.35">
      <c r="A8" s="102" t="s">
        <v>58</v>
      </c>
      <c r="B8" s="55">
        <v>2319</v>
      </c>
      <c r="C8" s="55">
        <v>3032</v>
      </c>
      <c r="D8" s="55">
        <v>713</v>
      </c>
      <c r="E8" s="56">
        <v>0.23515831134564599</v>
      </c>
      <c r="F8" s="57" t="s">
        <v>13</v>
      </c>
      <c r="G8" s="57">
        <v>55</v>
      </c>
      <c r="H8" s="58">
        <v>4.5999999999999996</v>
      </c>
      <c r="I8" s="57" t="s">
        <v>52</v>
      </c>
      <c r="J8" s="57" t="s">
        <v>10</v>
      </c>
      <c r="K8" s="104" t="s">
        <v>13</v>
      </c>
    </row>
    <row r="9" spans="1:11" x14ac:dyDescent="0.35">
      <c r="A9" s="103" t="s">
        <v>59</v>
      </c>
      <c r="B9" s="59">
        <v>988</v>
      </c>
      <c r="C9" s="59">
        <v>1580</v>
      </c>
      <c r="D9" s="59">
        <v>592</v>
      </c>
      <c r="E9" s="60">
        <v>0.37468354430379702</v>
      </c>
      <c r="F9" s="61" t="s">
        <v>13</v>
      </c>
      <c r="G9" s="61">
        <v>2</v>
      </c>
      <c r="H9" s="62">
        <v>4</v>
      </c>
      <c r="I9" s="61" t="s">
        <v>12</v>
      </c>
      <c r="J9" s="61" t="s">
        <v>12</v>
      </c>
      <c r="K9" s="105" t="s">
        <v>13</v>
      </c>
    </row>
    <row r="10" spans="1:11" x14ac:dyDescent="0.35">
      <c r="A10" s="102" t="s">
        <v>60</v>
      </c>
      <c r="B10" s="55">
        <v>1274</v>
      </c>
      <c r="C10" s="55">
        <v>2800</v>
      </c>
      <c r="D10" s="55">
        <v>1526</v>
      </c>
      <c r="E10" s="56">
        <v>0.54500000000000004</v>
      </c>
      <c r="F10" s="57" t="s">
        <v>11</v>
      </c>
      <c r="G10" s="57">
        <v>5</v>
      </c>
      <c r="H10" s="58">
        <v>4.8</v>
      </c>
      <c r="I10" s="57" t="s">
        <v>52</v>
      </c>
      <c r="J10" s="57" t="s">
        <v>10</v>
      </c>
      <c r="K10" s="104" t="s">
        <v>11</v>
      </c>
    </row>
    <row r="11" spans="1:11" x14ac:dyDescent="0.35">
      <c r="A11" s="103" t="s">
        <v>61</v>
      </c>
      <c r="B11" s="59">
        <v>1600</v>
      </c>
      <c r="C11" s="59">
        <v>2929</v>
      </c>
      <c r="D11" s="59">
        <v>1329</v>
      </c>
      <c r="E11" s="60">
        <v>0.45373847729600503</v>
      </c>
      <c r="F11" s="61" t="s">
        <v>11</v>
      </c>
      <c r="G11" s="61">
        <v>5</v>
      </c>
      <c r="H11" s="62">
        <v>3.8</v>
      </c>
      <c r="I11" s="61" t="s">
        <v>12</v>
      </c>
      <c r="J11" s="61" t="s">
        <v>12</v>
      </c>
      <c r="K11" s="105" t="s">
        <v>11</v>
      </c>
    </row>
    <row r="12" spans="1:11" x14ac:dyDescent="0.35">
      <c r="A12" s="102" t="s">
        <v>62</v>
      </c>
      <c r="B12" s="55">
        <v>799</v>
      </c>
      <c r="C12" s="55">
        <v>999</v>
      </c>
      <c r="D12" s="55">
        <v>200</v>
      </c>
      <c r="E12" s="56">
        <v>0.20020020020019999</v>
      </c>
      <c r="F12" s="57" t="s">
        <v>13</v>
      </c>
      <c r="G12" s="57">
        <v>12</v>
      </c>
      <c r="H12" s="58">
        <v>4.0999999999999996</v>
      </c>
      <c r="I12" s="57" t="s">
        <v>12</v>
      </c>
      <c r="J12" s="57" t="s">
        <v>12</v>
      </c>
      <c r="K12" s="104" t="s">
        <v>13</v>
      </c>
    </row>
    <row r="13" spans="1:11" x14ac:dyDescent="0.35">
      <c r="A13" s="103" t="s">
        <v>63</v>
      </c>
      <c r="B13" s="59">
        <v>990</v>
      </c>
      <c r="C13" s="59">
        <v>1500</v>
      </c>
      <c r="D13" s="59">
        <v>510</v>
      </c>
      <c r="E13" s="60">
        <v>0.34</v>
      </c>
      <c r="F13" s="61" t="s">
        <v>13</v>
      </c>
      <c r="G13" s="61">
        <v>39</v>
      </c>
      <c r="H13" s="62">
        <v>4.7</v>
      </c>
      <c r="I13" s="61" t="s">
        <v>52</v>
      </c>
      <c r="J13" s="61" t="s">
        <v>10</v>
      </c>
      <c r="K13" s="105" t="s">
        <v>13</v>
      </c>
    </row>
    <row r="14" spans="1:11" x14ac:dyDescent="0.35">
      <c r="A14" s="102" t="s">
        <v>64</v>
      </c>
      <c r="B14" s="55">
        <v>552</v>
      </c>
      <c r="C14" s="55">
        <v>1035</v>
      </c>
      <c r="D14" s="55">
        <v>483</v>
      </c>
      <c r="E14" s="56">
        <v>0.46666666666666701</v>
      </c>
      <c r="F14" s="57" t="s">
        <v>11</v>
      </c>
      <c r="G14" s="57">
        <v>12</v>
      </c>
      <c r="H14" s="58">
        <v>4.8</v>
      </c>
      <c r="I14" s="57" t="s">
        <v>52</v>
      </c>
      <c r="J14" s="57" t="s">
        <v>10</v>
      </c>
      <c r="K14" s="104" t="s">
        <v>11</v>
      </c>
    </row>
    <row r="15" spans="1:11" x14ac:dyDescent="0.35">
      <c r="A15" s="103" t="s">
        <v>65</v>
      </c>
      <c r="B15" s="59">
        <v>501</v>
      </c>
      <c r="C15" s="59">
        <v>860</v>
      </c>
      <c r="D15" s="59">
        <v>359</v>
      </c>
      <c r="E15" s="60">
        <v>0.417441860465116</v>
      </c>
      <c r="F15" s="61" t="s">
        <v>11</v>
      </c>
      <c r="G15" s="61">
        <v>6</v>
      </c>
      <c r="H15" s="62">
        <v>4.5</v>
      </c>
      <c r="I15" s="61" t="s">
        <v>52</v>
      </c>
      <c r="J15" s="61" t="s">
        <v>10</v>
      </c>
      <c r="K15" s="105" t="s">
        <v>11</v>
      </c>
    </row>
    <row r="16" spans="1:11" x14ac:dyDescent="0.35">
      <c r="A16" s="102" t="s">
        <v>66</v>
      </c>
      <c r="B16" s="55">
        <v>1680</v>
      </c>
      <c r="C16" s="55">
        <v>2499</v>
      </c>
      <c r="D16" s="55">
        <v>819</v>
      </c>
      <c r="E16" s="56">
        <v>0.32773109243697501</v>
      </c>
      <c r="F16" s="57" t="s">
        <v>13</v>
      </c>
      <c r="G16" s="57">
        <v>9</v>
      </c>
      <c r="H16" s="58">
        <v>4.2</v>
      </c>
      <c r="I16" s="57" t="s">
        <v>12</v>
      </c>
      <c r="J16" s="57" t="s">
        <v>12</v>
      </c>
      <c r="K16" s="104" t="s">
        <v>13</v>
      </c>
    </row>
    <row r="17" spans="1:11" x14ac:dyDescent="0.35">
      <c r="A17" s="103" t="s">
        <v>67</v>
      </c>
      <c r="B17" s="59">
        <v>332</v>
      </c>
      <c r="C17" s="59">
        <v>684</v>
      </c>
      <c r="D17" s="59">
        <v>352</v>
      </c>
      <c r="E17" s="60">
        <v>0.51461988304093598</v>
      </c>
      <c r="F17" s="61" t="s">
        <v>11</v>
      </c>
      <c r="G17" s="61">
        <v>2</v>
      </c>
      <c r="H17" s="62">
        <v>5</v>
      </c>
      <c r="I17" s="61" t="s">
        <v>52</v>
      </c>
      <c r="J17" s="61" t="s">
        <v>10</v>
      </c>
      <c r="K17" s="105" t="s">
        <v>11</v>
      </c>
    </row>
    <row r="18" spans="1:11" x14ac:dyDescent="0.35">
      <c r="A18" s="102" t="s">
        <v>68</v>
      </c>
      <c r="B18" s="55">
        <v>195</v>
      </c>
      <c r="C18" s="55">
        <v>360</v>
      </c>
      <c r="D18" s="55">
        <v>165</v>
      </c>
      <c r="E18" s="56">
        <v>0.45833333333333298</v>
      </c>
      <c r="F18" s="57" t="s">
        <v>11</v>
      </c>
      <c r="G18" s="57">
        <v>2</v>
      </c>
      <c r="H18" s="58">
        <v>5</v>
      </c>
      <c r="I18" s="57" t="s">
        <v>52</v>
      </c>
      <c r="J18" s="57" t="s">
        <v>10</v>
      </c>
      <c r="K18" s="104" t="s">
        <v>11</v>
      </c>
    </row>
    <row r="19" spans="1:11" x14ac:dyDescent="0.35">
      <c r="A19" s="103" t="s">
        <v>69</v>
      </c>
      <c r="B19" s="59">
        <v>2025</v>
      </c>
      <c r="C19" s="59">
        <v>3971</v>
      </c>
      <c r="D19" s="59">
        <v>1946</v>
      </c>
      <c r="E19" s="60">
        <v>0.490052883404684</v>
      </c>
      <c r="F19" s="61" t="s">
        <v>11</v>
      </c>
      <c r="G19" s="61">
        <v>3</v>
      </c>
      <c r="H19" s="62">
        <v>5</v>
      </c>
      <c r="I19" s="61" t="s">
        <v>52</v>
      </c>
      <c r="J19" s="61" t="s">
        <v>10</v>
      </c>
      <c r="K19" s="105" t="s">
        <v>11</v>
      </c>
    </row>
    <row r="20" spans="1:11" x14ac:dyDescent="0.35">
      <c r="A20" s="102" t="s">
        <v>70</v>
      </c>
      <c r="B20" s="55">
        <v>2999</v>
      </c>
      <c r="C20" s="55">
        <v>3699</v>
      </c>
      <c r="D20" s="55">
        <v>700</v>
      </c>
      <c r="E20" s="56">
        <v>0.18924033522573699</v>
      </c>
      <c r="F20" s="57" t="s">
        <v>15</v>
      </c>
      <c r="G20" s="57">
        <v>5</v>
      </c>
      <c r="H20" s="58">
        <v>4.5999999999999996</v>
      </c>
      <c r="I20" s="57" t="s">
        <v>52</v>
      </c>
      <c r="J20" s="57" t="s">
        <v>10</v>
      </c>
      <c r="K20" s="104" t="s">
        <v>15</v>
      </c>
    </row>
    <row r="21" spans="1:11" x14ac:dyDescent="0.35">
      <c r="A21" s="103" t="s">
        <v>71</v>
      </c>
      <c r="B21" s="59">
        <v>998</v>
      </c>
      <c r="C21" s="59">
        <v>1966</v>
      </c>
      <c r="D21" s="59">
        <v>968</v>
      </c>
      <c r="E21" s="60">
        <v>0.49237029501525897</v>
      </c>
      <c r="F21" s="61" t="s">
        <v>11</v>
      </c>
      <c r="G21" s="61">
        <v>44</v>
      </c>
      <c r="H21" s="62">
        <v>4.5999999999999996</v>
      </c>
      <c r="I21" s="61" t="s">
        <v>52</v>
      </c>
      <c r="J21" s="61" t="s">
        <v>10</v>
      </c>
      <c r="K21" s="105" t="s">
        <v>11</v>
      </c>
    </row>
    <row r="22" spans="1:11" x14ac:dyDescent="0.35">
      <c r="A22" s="102" t="s">
        <v>72</v>
      </c>
      <c r="B22" s="55">
        <v>38</v>
      </c>
      <c r="C22" s="55">
        <v>80</v>
      </c>
      <c r="D22" s="55">
        <v>42</v>
      </c>
      <c r="E22" s="56">
        <v>0.52500000000000002</v>
      </c>
      <c r="F22" s="57" t="s">
        <v>11</v>
      </c>
      <c r="G22" s="57">
        <v>13</v>
      </c>
      <c r="H22" s="58">
        <v>3.3</v>
      </c>
      <c r="I22" s="57" t="s">
        <v>12</v>
      </c>
      <c r="J22" s="57" t="s">
        <v>12</v>
      </c>
      <c r="K22" s="104" t="s">
        <v>11</v>
      </c>
    </row>
    <row r="23" spans="1:11" x14ac:dyDescent="0.35">
      <c r="A23" s="103" t="s">
        <v>73</v>
      </c>
      <c r="B23" s="59">
        <v>1860</v>
      </c>
      <c r="C23" s="59">
        <v>3220</v>
      </c>
      <c r="D23" s="59">
        <v>1360</v>
      </c>
      <c r="E23" s="60">
        <v>0.42236024844720499</v>
      </c>
      <c r="F23" s="61" t="s">
        <v>11</v>
      </c>
      <c r="G23" s="61"/>
      <c r="H23" s="62"/>
      <c r="I23" s="61"/>
      <c r="J23" s="61" t="s">
        <v>16</v>
      </c>
      <c r="K23" s="105" t="s">
        <v>11</v>
      </c>
    </row>
    <row r="24" spans="1:11" x14ac:dyDescent="0.35">
      <c r="A24" s="102" t="s">
        <v>74</v>
      </c>
      <c r="B24" s="55">
        <v>880</v>
      </c>
      <c r="C24" s="55">
        <v>1350</v>
      </c>
      <c r="D24" s="55">
        <v>470</v>
      </c>
      <c r="E24" s="56">
        <v>0.34814814814814798</v>
      </c>
      <c r="F24" s="57" t="s">
        <v>13</v>
      </c>
      <c r="G24" s="57">
        <v>6</v>
      </c>
      <c r="H24" s="58">
        <v>4</v>
      </c>
      <c r="I24" s="57" t="s">
        <v>12</v>
      </c>
      <c r="J24" s="57" t="s">
        <v>12</v>
      </c>
      <c r="K24" s="104" t="s">
        <v>13</v>
      </c>
    </row>
    <row r="25" spans="1:11" x14ac:dyDescent="0.35">
      <c r="A25" s="103" t="s">
        <v>75</v>
      </c>
      <c r="B25" s="59">
        <v>1650</v>
      </c>
      <c r="C25" s="59">
        <v>2150</v>
      </c>
      <c r="D25" s="59">
        <v>500</v>
      </c>
      <c r="E25" s="60">
        <v>0.232558139534884</v>
      </c>
      <c r="F25" s="61" t="s">
        <v>13</v>
      </c>
      <c r="G25" s="61">
        <v>14</v>
      </c>
      <c r="H25" s="62">
        <v>4.4000000000000004</v>
      </c>
      <c r="I25" s="61" t="s">
        <v>12</v>
      </c>
      <c r="J25" s="61" t="s">
        <v>12</v>
      </c>
      <c r="K25" s="105" t="s">
        <v>13</v>
      </c>
    </row>
    <row r="26" spans="1:11" x14ac:dyDescent="0.35">
      <c r="A26" s="102" t="s">
        <v>76</v>
      </c>
      <c r="B26" s="55">
        <v>2048</v>
      </c>
      <c r="C26" s="55">
        <v>4500</v>
      </c>
      <c r="D26" s="55">
        <v>2452</v>
      </c>
      <c r="E26" s="56">
        <v>0.54488888888888898</v>
      </c>
      <c r="F26" s="57" t="s">
        <v>11</v>
      </c>
      <c r="G26" s="57">
        <v>7</v>
      </c>
      <c r="H26" s="58">
        <v>4.3</v>
      </c>
      <c r="I26" s="57" t="s">
        <v>12</v>
      </c>
      <c r="J26" s="57" t="s">
        <v>12</v>
      </c>
      <c r="K26" s="104" t="s">
        <v>11</v>
      </c>
    </row>
    <row r="27" spans="1:11" x14ac:dyDescent="0.35">
      <c r="A27" s="103" t="s">
        <v>77</v>
      </c>
      <c r="B27" s="59">
        <v>420</v>
      </c>
      <c r="C27" s="59">
        <v>647</v>
      </c>
      <c r="D27" s="59">
        <v>227</v>
      </c>
      <c r="E27" s="60">
        <v>0.35085007727975298</v>
      </c>
      <c r="F27" s="61" t="s">
        <v>13</v>
      </c>
      <c r="G27" s="61">
        <v>49</v>
      </c>
      <c r="H27" s="62">
        <v>4.5999999999999996</v>
      </c>
      <c r="I27" s="61" t="s">
        <v>52</v>
      </c>
      <c r="J27" s="61" t="s">
        <v>10</v>
      </c>
      <c r="K27" s="105" t="s">
        <v>13</v>
      </c>
    </row>
    <row r="28" spans="1:11" x14ac:dyDescent="0.35">
      <c r="A28" s="102" t="s">
        <v>78</v>
      </c>
      <c r="B28" s="55">
        <v>2880</v>
      </c>
      <c r="C28" s="55">
        <v>3520</v>
      </c>
      <c r="D28" s="55">
        <v>640</v>
      </c>
      <c r="E28" s="56">
        <v>0.18181818181818199</v>
      </c>
      <c r="F28" s="57" t="s">
        <v>15</v>
      </c>
      <c r="G28" s="57">
        <v>12</v>
      </c>
      <c r="H28" s="58">
        <v>3.8</v>
      </c>
      <c r="I28" s="57" t="s">
        <v>12</v>
      </c>
      <c r="J28" s="57" t="s">
        <v>12</v>
      </c>
      <c r="K28" s="104" t="s">
        <v>15</v>
      </c>
    </row>
    <row r="29" spans="1:11" x14ac:dyDescent="0.35">
      <c r="A29" s="103" t="s">
        <v>79</v>
      </c>
      <c r="B29" s="59">
        <v>1350</v>
      </c>
      <c r="C29" s="59">
        <v>1990</v>
      </c>
      <c r="D29" s="59">
        <v>640</v>
      </c>
      <c r="E29" s="60">
        <v>0.32160804020100497</v>
      </c>
      <c r="F29" s="61" t="s">
        <v>13</v>
      </c>
      <c r="G29" s="61">
        <v>13</v>
      </c>
      <c r="H29" s="62">
        <v>3.8</v>
      </c>
      <c r="I29" s="61" t="s">
        <v>12</v>
      </c>
      <c r="J29" s="61" t="s">
        <v>12</v>
      </c>
      <c r="K29" s="105" t="s">
        <v>13</v>
      </c>
    </row>
    <row r="30" spans="1:11" x14ac:dyDescent="0.35">
      <c r="A30" s="102" t="s">
        <v>80</v>
      </c>
      <c r="B30" s="55">
        <v>1758</v>
      </c>
      <c r="C30" s="55">
        <v>2499</v>
      </c>
      <c r="D30" s="55">
        <v>741</v>
      </c>
      <c r="E30" s="56">
        <v>0.29651860744297698</v>
      </c>
      <c r="F30" s="57" t="s">
        <v>13</v>
      </c>
      <c r="G30" s="57">
        <v>20</v>
      </c>
      <c r="H30" s="58">
        <v>4.0999999999999996</v>
      </c>
      <c r="I30" s="57" t="s">
        <v>12</v>
      </c>
      <c r="J30" s="57" t="s">
        <v>12</v>
      </c>
      <c r="K30" s="104" t="s">
        <v>13</v>
      </c>
    </row>
    <row r="31" spans="1:11" x14ac:dyDescent="0.35">
      <c r="A31" s="103" t="s">
        <v>81</v>
      </c>
      <c r="B31" s="59">
        <v>2200</v>
      </c>
      <c r="C31" s="59">
        <v>4080</v>
      </c>
      <c r="D31" s="59">
        <v>1880</v>
      </c>
      <c r="E31" s="60">
        <v>0.46078431372549</v>
      </c>
      <c r="F31" s="61" t="s">
        <v>11</v>
      </c>
      <c r="G31" s="61"/>
      <c r="H31" s="62"/>
      <c r="I31" s="61"/>
      <c r="J31" s="61" t="s">
        <v>16</v>
      </c>
      <c r="K31" s="105" t="s">
        <v>11</v>
      </c>
    </row>
    <row r="32" spans="1:11" x14ac:dyDescent="0.35">
      <c r="A32" s="102" t="s">
        <v>82</v>
      </c>
      <c r="B32" s="55">
        <v>185</v>
      </c>
      <c r="C32" s="55">
        <v>382</v>
      </c>
      <c r="D32" s="55">
        <v>197</v>
      </c>
      <c r="E32" s="56">
        <v>0.51570680628272303</v>
      </c>
      <c r="F32" s="57" t="s">
        <v>11</v>
      </c>
      <c r="G32" s="57">
        <v>9</v>
      </c>
      <c r="H32" s="58">
        <v>4.3</v>
      </c>
      <c r="I32" s="57" t="s">
        <v>12</v>
      </c>
      <c r="J32" s="57" t="s">
        <v>12</v>
      </c>
      <c r="K32" s="104" t="s">
        <v>11</v>
      </c>
    </row>
    <row r="33" spans="1:11" x14ac:dyDescent="0.35">
      <c r="A33" s="103" t="s">
        <v>83</v>
      </c>
      <c r="B33" s="59">
        <v>980</v>
      </c>
      <c r="C33" s="59">
        <v>1490</v>
      </c>
      <c r="D33" s="59">
        <v>510</v>
      </c>
      <c r="E33" s="60">
        <v>0.34228187919463099</v>
      </c>
      <c r="F33" s="61" t="s">
        <v>13</v>
      </c>
      <c r="G33" s="61">
        <v>12</v>
      </c>
      <c r="H33" s="62">
        <v>4.7</v>
      </c>
      <c r="I33" s="61" t="s">
        <v>52</v>
      </c>
      <c r="J33" s="61" t="s">
        <v>10</v>
      </c>
      <c r="K33" s="105" t="s">
        <v>13</v>
      </c>
    </row>
    <row r="34" spans="1:11" x14ac:dyDescent="0.35">
      <c r="A34" s="102" t="s">
        <v>84</v>
      </c>
      <c r="B34" s="55">
        <v>1820</v>
      </c>
      <c r="C34" s="55">
        <v>3490</v>
      </c>
      <c r="D34" s="55">
        <v>1670</v>
      </c>
      <c r="E34" s="56">
        <v>0.47851002865329501</v>
      </c>
      <c r="F34" s="57" t="s">
        <v>11</v>
      </c>
      <c r="G34" s="57">
        <v>9</v>
      </c>
      <c r="H34" s="58">
        <v>4.3</v>
      </c>
      <c r="I34" s="57" t="s">
        <v>12</v>
      </c>
      <c r="J34" s="57" t="s">
        <v>12</v>
      </c>
      <c r="K34" s="104" t="s">
        <v>11</v>
      </c>
    </row>
    <row r="35" spans="1:11" x14ac:dyDescent="0.35">
      <c r="A35" s="103" t="s">
        <v>85</v>
      </c>
      <c r="B35" s="59">
        <v>1940</v>
      </c>
      <c r="C35" s="59">
        <v>2650</v>
      </c>
      <c r="D35" s="59">
        <v>710</v>
      </c>
      <c r="E35" s="60">
        <v>0.26792452830188701</v>
      </c>
      <c r="F35" s="61" t="s">
        <v>13</v>
      </c>
      <c r="G35" s="61">
        <v>20</v>
      </c>
      <c r="H35" s="62">
        <v>4.7</v>
      </c>
      <c r="I35" s="61" t="s">
        <v>52</v>
      </c>
      <c r="J35" s="61" t="s">
        <v>10</v>
      </c>
      <c r="K35" s="105" t="s">
        <v>13</v>
      </c>
    </row>
    <row r="36" spans="1:11" x14ac:dyDescent="0.35">
      <c r="A36" s="102" t="s">
        <v>86</v>
      </c>
      <c r="B36" s="55">
        <v>1980</v>
      </c>
      <c r="C36" s="55">
        <v>2699</v>
      </c>
      <c r="D36" s="55">
        <v>719</v>
      </c>
      <c r="E36" s="56">
        <v>0.26639496109670202</v>
      </c>
      <c r="F36" s="57" t="s">
        <v>13</v>
      </c>
      <c r="G36" s="57">
        <v>32</v>
      </c>
      <c r="H36" s="58">
        <v>4.5</v>
      </c>
      <c r="I36" s="57" t="s">
        <v>52</v>
      </c>
      <c r="J36" s="57" t="s">
        <v>10</v>
      </c>
      <c r="K36" s="104" t="s">
        <v>13</v>
      </c>
    </row>
    <row r="37" spans="1:11" x14ac:dyDescent="0.35">
      <c r="A37" s="103" t="s">
        <v>87</v>
      </c>
      <c r="B37" s="59">
        <v>1620</v>
      </c>
      <c r="C37" s="59">
        <v>2690</v>
      </c>
      <c r="D37" s="59">
        <v>1070</v>
      </c>
      <c r="E37" s="60">
        <v>0.39776951672862498</v>
      </c>
      <c r="F37" s="61" t="s">
        <v>13</v>
      </c>
      <c r="G37" s="61">
        <v>1</v>
      </c>
      <c r="H37" s="62">
        <v>5</v>
      </c>
      <c r="I37" s="61" t="s">
        <v>52</v>
      </c>
      <c r="J37" s="61" t="s">
        <v>10</v>
      </c>
      <c r="K37" s="105" t="s">
        <v>13</v>
      </c>
    </row>
    <row r="38" spans="1:11" x14ac:dyDescent="0.35">
      <c r="A38" s="102" t="s">
        <v>88</v>
      </c>
      <c r="B38" s="55">
        <v>171</v>
      </c>
      <c r="C38" s="55">
        <v>360</v>
      </c>
      <c r="D38" s="55">
        <v>189</v>
      </c>
      <c r="E38" s="56">
        <v>0.52500000000000002</v>
      </c>
      <c r="F38" s="57" t="s">
        <v>11</v>
      </c>
      <c r="G38" s="57">
        <v>2</v>
      </c>
      <c r="H38" s="58">
        <v>5</v>
      </c>
      <c r="I38" s="57" t="s">
        <v>52</v>
      </c>
      <c r="J38" s="57" t="s">
        <v>10</v>
      </c>
      <c r="K38" s="104" t="s">
        <v>11</v>
      </c>
    </row>
    <row r="39" spans="1:11" x14ac:dyDescent="0.35">
      <c r="A39" s="103" t="s">
        <v>89</v>
      </c>
      <c r="B39" s="59">
        <v>389</v>
      </c>
      <c r="C39" s="59">
        <v>656</v>
      </c>
      <c r="D39" s="59">
        <v>267</v>
      </c>
      <c r="E39" s="60">
        <v>0.40701219512195103</v>
      </c>
      <c r="F39" s="61" t="s">
        <v>11</v>
      </c>
      <c r="G39" s="61">
        <v>36</v>
      </c>
      <c r="H39" s="62">
        <v>4.3</v>
      </c>
      <c r="I39" s="61" t="s">
        <v>12</v>
      </c>
      <c r="J39" s="61" t="s">
        <v>12</v>
      </c>
      <c r="K39" s="105" t="s">
        <v>11</v>
      </c>
    </row>
    <row r="40" spans="1:11" x14ac:dyDescent="0.35">
      <c r="A40" s="102" t="s">
        <v>90</v>
      </c>
      <c r="B40" s="55">
        <v>2750</v>
      </c>
      <c r="C40" s="55">
        <v>4471</v>
      </c>
      <c r="D40" s="55">
        <v>1721</v>
      </c>
      <c r="E40" s="56">
        <v>0.384925072690673</v>
      </c>
      <c r="F40" s="57" t="s">
        <v>13</v>
      </c>
      <c r="G40" s="57"/>
      <c r="H40" s="58"/>
      <c r="I40" s="57"/>
      <c r="J40" s="57" t="s">
        <v>16</v>
      </c>
      <c r="K40" s="104" t="s">
        <v>13</v>
      </c>
    </row>
    <row r="41" spans="1:11" x14ac:dyDescent="0.35">
      <c r="A41" s="103" t="s">
        <v>91</v>
      </c>
      <c r="B41" s="59">
        <v>475</v>
      </c>
      <c r="C41" s="59">
        <v>931</v>
      </c>
      <c r="D41" s="59">
        <v>456</v>
      </c>
      <c r="E41" s="60">
        <v>0.48979591836734698</v>
      </c>
      <c r="F41" s="61" t="s">
        <v>11</v>
      </c>
      <c r="G41" s="61"/>
      <c r="H41" s="62"/>
      <c r="I41" s="61"/>
      <c r="J41" s="61" t="s">
        <v>16</v>
      </c>
      <c r="K41" s="105" t="s">
        <v>11</v>
      </c>
    </row>
    <row r="42" spans="1:11" x14ac:dyDescent="0.35">
      <c r="A42" s="102" t="s">
        <v>92</v>
      </c>
      <c r="B42" s="55">
        <v>238</v>
      </c>
      <c r="C42" s="55">
        <v>476</v>
      </c>
      <c r="D42" s="55">
        <v>238</v>
      </c>
      <c r="E42" s="56">
        <v>0.5</v>
      </c>
      <c r="F42" s="57" t="s">
        <v>11</v>
      </c>
      <c r="G42" s="57"/>
      <c r="H42" s="58"/>
      <c r="I42" s="57"/>
      <c r="J42" s="57" t="s">
        <v>16</v>
      </c>
      <c r="K42" s="104" t="s">
        <v>11</v>
      </c>
    </row>
    <row r="43" spans="1:11" x14ac:dyDescent="0.35">
      <c r="A43" s="103" t="s">
        <v>93</v>
      </c>
      <c r="B43" s="59">
        <v>610</v>
      </c>
      <c r="C43" s="59">
        <v>1060</v>
      </c>
      <c r="D43" s="59">
        <v>450</v>
      </c>
      <c r="E43" s="60">
        <v>0.42452830188679203</v>
      </c>
      <c r="F43" s="61" t="s">
        <v>11</v>
      </c>
      <c r="G43" s="61"/>
      <c r="H43" s="62"/>
      <c r="I43" s="61"/>
      <c r="J43" s="61" t="s">
        <v>16</v>
      </c>
      <c r="K43" s="105" t="s">
        <v>11</v>
      </c>
    </row>
    <row r="44" spans="1:11" x14ac:dyDescent="0.35">
      <c r="A44" s="102" t="s">
        <v>94</v>
      </c>
      <c r="B44" s="55">
        <v>2132</v>
      </c>
      <c r="C44" s="55">
        <v>2169</v>
      </c>
      <c r="D44" s="55">
        <v>37</v>
      </c>
      <c r="E44" s="56">
        <v>1.7058552328261901E-2</v>
      </c>
      <c r="F44" s="57" t="s">
        <v>15</v>
      </c>
      <c r="G44" s="57"/>
      <c r="H44" s="58"/>
      <c r="I44" s="57"/>
      <c r="J44" s="57" t="s">
        <v>16</v>
      </c>
      <c r="K44" s="104" t="s">
        <v>15</v>
      </c>
    </row>
    <row r="45" spans="1:11" x14ac:dyDescent="0.35">
      <c r="A45" s="103" t="s">
        <v>95</v>
      </c>
      <c r="B45" s="59">
        <v>999</v>
      </c>
      <c r="C45" s="59">
        <v>2000</v>
      </c>
      <c r="D45" s="59">
        <v>1001</v>
      </c>
      <c r="E45" s="60">
        <v>0.50049999999999994</v>
      </c>
      <c r="F45" s="61" t="s">
        <v>11</v>
      </c>
      <c r="G45" s="61"/>
      <c r="H45" s="62"/>
      <c r="I45" s="61"/>
      <c r="J45" s="61" t="s">
        <v>16</v>
      </c>
      <c r="K45" s="105" t="s">
        <v>11</v>
      </c>
    </row>
    <row r="46" spans="1:11" x14ac:dyDescent="0.35">
      <c r="A46" s="102" t="s">
        <v>96</v>
      </c>
      <c r="B46" s="55">
        <v>1190</v>
      </c>
      <c r="C46" s="55">
        <v>1785</v>
      </c>
      <c r="D46" s="55">
        <v>595</v>
      </c>
      <c r="E46" s="56">
        <v>0.33333333333333298</v>
      </c>
      <c r="F46" s="57" t="s">
        <v>13</v>
      </c>
      <c r="G46" s="57"/>
      <c r="H46" s="58"/>
      <c r="I46" s="57"/>
      <c r="J46" s="57" t="s">
        <v>16</v>
      </c>
      <c r="K46" s="104" t="s">
        <v>13</v>
      </c>
    </row>
    <row r="47" spans="1:11" x14ac:dyDescent="0.35">
      <c r="A47" s="103" t="s">
        <v>97</v>
      </c>
      <c r="B47" s="59">
        <v>671</v>
      </c>
      <c r="C47" s="59">
        <v>1316</v>
      </c>
      <c r="D47" s="59">
        <v>645</v>
      </c>
      <c r="E47" s="60">
        <v>0.49012158054711202</v>
      </c>
      <c r="F47" s="61" t="s">
        <v>11</v>
      </c>
      <c r="G47" s="61"/>
      <c r="H47" s="62"/>
      <c r="I47" s="61"/>
      <c r="J47" s="61" t="s">
        <v>16</v>
      </c>
      <c r="K47" s="105" t="s">
        <v>11</v>
      </c>
    </row>
    <row r="48" spans="1:11" x14ac:dyDescent="0.35">
      <c r="A48" s="102" t="s">
        <v>98</v>
      </c>
      <c r="B48" s="55">
        <v>1200</v>
      </c>
      <c r="C48" s="55">
        <v>1950</v>
      </c>
      <c r="D48" s="55">
        <v>750</v>
      </c>
      <c r="E48" s="56">
        <v>0.38461538461538503</v>
      </c>
      <c r="F48" s="57" t="s">
        <v>13</v>
      </c>
      <c r="G48" s="57"/>
      <c r="H48" s="58"/>
      <c r="I48" s="57"/>
      <c r="J48" s="57" t="s">
        <v>16</v>
      </c>
      <c r="K48" s="104" t="s">
        <v>13</v>
      </c>
    </row>
    <row r="49" spans="1:11" x14ac:dyDescent="0.35">
      <c r="A49" s="103" t="s">
        <v>99</v>
      </c>
      <c r="B49" s="59">
        <v>199</v>
      </c>
      <c r="C49" s="59">
        <v>504</v>
      </c>
      <c r="D49" s="59">
        <v>305</v>
      </c>
      <c r="E49" s="60">
        <v>0.60515873015873001</v>
      </c>
      <c r="F49" s="61" t="s">
        <v>11</v>
      </c>
      <c r="G49" s="61"/>
      <c r="H49" s="62"/>
      <c r="I49" s="61"/>
      <c r="J49" s="61" t="s">
        <v>16</v>
      </c>
      <c r="K49" s="105" t="s">
        <v>11</v>
      </c>
    </row>
    <row r="50" spans="1:11" x14ac:dyDescent="0.35">
      <c r="A50" s="102" t="s">
        <v>100</v>
      </c>
      <c r="B50" s="55">
        <v>299</v>
      </c>
      <c r="C50" s="55">
        <v>600</v>
      </c>
      <c r="D50" s="55">
        <v>301</v>
      </c>
      <c r="E50" s="56">
        <v>0.50166666666666704</v>
      </c>
      <c r="F50" s="57" t="s">
        <v>11</v>
      </c>
      <c r="G50" s="57"/>
      <c r="H50" s="58"/>
      <c r="I50" s="57"/>
      <c r="J50" s="57" t="s">
        <v>16</v>
      </c>
      <c r="K50" s="104" t="s">
        <v>11</v>
      </c>
    </row>
    <row r="51" spans="1:11" x14ac:dyDescent="0.35">
      <c r="A51" s="103" t="s">
        <v>101</v>
      </c>
      <c r="B51" s="59">
        <v>1660</v>
      </c>
      <c r="C51" s="59">
        <v>1699</v>
      </c>
      <c r="D51" s="59">
        <v>39</v>
      </c>
      <c r="E51" s="60">
        <v>2.2954679223072399E-2</v>
      </c>
      <c r="F51" s="61" t="s">
        <v>15</v>
      </c>
      <c r="G51" s="61"/>
      <c r="H51" s="62"/>
      <c r="I51" s="61"/>
      <c r="J51" s="61" t="s">
        <v>16</v>
      </c>
      <c r="K51" s="105" t="s">
        <v>15</v>
      </c>
    </row>
    <row r="52" spans="1:11" x14ac:dyDescent="0.35">
      <c r="A52" s="102" t="s">
        <v>102</v>
      </c>
      <c r="B52" s="55">
        <v>299</v>
      </c>
      <c r="C52" s="55">
        <v>384</v>
      </c>
      <c r="D52" s="55">
        <v>85</v>
      </c>
      <c r="E52" s="56">
        <v>0.22135416666666699</v>
      </c>
      <c r="F52" s="57" t="s">
        <v>13</v>
      </c>
      <c r="G52" s="57"/>
      <c r="H52" s="58"/>
      <c r="I52" s="57"/>
      <c r="J52" s="57" t="s">
        <v>16</v>
      </c>
      <c r="K52" s="104" t="s">
        <v>13</v>
      </c>
    </row>
    <row r="53" spans="1:11" x14ac:dyDescent="0.35">
      <c r="A53" s="103" t="s">
        <v>103</v>
      </c>
      <c r="B53" s="59">
        <v>1459</v>
      </c>
      <c r="C53" s="59">
        <v>1499</v>
      </c>
      <c r="D53" s="59">
        <v>40</v>
      </c>
      <c r="E53" s="60">
        <v>2.6684456304202801E-2</v>
      </c>
      <c r="F53" s="61" t="s">
        <v>15</v>
      </c>
      <c r="G53" s="61"/>
      <c r="H53" s="62"/>
      <c r="I53" s="61"/>
      <c r="J53" s="61" t="s">
        <v>16</v>
      </c>
      <c r="K53" s="105" t="s">
        <v>15</v>
      </c>
    </row>
    <row r="54" spans="1:11" x14ac:dyDescent="0.35">
      <c r="A54" s="102" t="s">
        <v>104</v>
      </c>
      <c r="B54" s="55">
        <v>799</v>
      </c>
      <c r="C54" s="55">
        <v>1343</v>
      </c>
      <c r="D54" s="55">
        <v>544</v>
      </c>
      <c r="E54" s="56">
        <v>0.405063291139241</v>
      </c>
      <c r="F54" s="57" t="s">
        <v>11</v>
      </c>
      <c r="G54" s="57"/>
      <c r="H54" s="58"/>
      <c r="I54" s="57"/>
      <c r="J54" s="57" t="s">
        <v>16</v>
      </c>
      <c r="K54" s="104" t="s">
        <v>11</v>
      </c>
    </row>
    <row r="55" spans="1:11" x14ac:dyDescent="0.35">
      <c r="A55" s="103" t="s">
        <v>105</v>
      </c>
      <c r="B55" s="59">
        <v>499</v>
      </c>
      <c r="C55" s="59">
        <v>900</v>
      </c>
      <c r="D55" s="59">
        <v>401</v>
      </c>
      <c r="E55" s="60">
        <v>0.44555555555555598</v>
      </c>
      <c r="F55" s="61" t="s">
        <v>11</v>
      </c>
      <c r="G55" s="61"/>
      <c r="H55" s="62"/>
      <c r="I55" s="61"/>
      <c r="J55" s="61" t="s">
        <v>16</v>
      </c>
      <c r="K55" s="105" t="s">
        <v>11</v>
      </c>
    </row>
    <row r="56" spans="1:11" x14ac:dyDescent="0.35">
      <c r="A56" s="102" t="s">
        <v>106</v>
      </c>
      <c r="B56" s="55">
        <v>699</v>
      </c>
      <c r="C56" s="55">
        <v>1343</v>
      </c>
      <c r="D56" s="55">
        <v>644</v>
      </c>
      <c r="E56" s="56">
        <v>0.47952345495160098</v>
      </c>
      <c r="F56" s="57" t="s">
        <v>11</v>
      </c>
      <c r="G56" s="57"/>
      <c r="H56" s="58"/>
      <c r="I56" s="57"/>
      <c r="J56" s="57" t="s">
        <v>16</v>
      </c>
      <c r="K56" s="104" t="s">
        <v>11</v>
      </c>
    </row>
    <row r="57" spans="1:11" x14ac:dyDescent="0.35">
      <c r="A57" s="103" t="s">
        <v>107</v>
      </c>
      <c r="B57" s="59">
        <v>799</v>
      </c>
      <c r="C57" s="59">
        <v>1567</v>
      </c>
      <c r="D57" s="59">
        <v>768</v>
      </c>
      <c r="E57" s="60">
        <v>0.49010848755583902</v>
      </c>
      <c r="F57" s="61" t="s">
        <v>11</v>
      </c>
      <c r="G57" s="61"/>
      <c r="H57" s="62"/>
      <c r="I57" s="61"/>
      <c r="J57" s="61" t="s">
        <v>16</v>
      </c>
      <c r="K57" s="105" t="s">
        <v>11</v>
      </c>
    </row>
    <row r="58" spans="1:11" x14ac:dyDescent="0.35">
      <c r="A58" s="102" t="s">
        <v>108</v>
      </c>
      <c r="B58" s="55">
        <v>2799</v>
      </c>
      <c r="C58" s="55">
        <v>3810</v>
      </c>
      <c r="D58" s="55">
        <v>1011</v>
      </c>
      <c r="E58" s="56">
        <v>0.26535433070866099</v>
      </c>
      <c r="F58" s="57" t="s">
        <v>13</v>
      </c>
      <c r="G58" s="57"/>
      <c r="H58" s="58"/>
      <c r="I58" s="57"/>
      <c r="J58" s="57" t="s">
        <v>16</v>
      </c>
      <c r="K58" s="104" t="s">
        <v>13</v>
      </c>
    </row>
    <row r="59" spans="1:11" x14ac:dyDescent="0.35">
      <c r="A59" s="103" t="s">
        <v>105</v>
      </c>
      <c r="B59" s="59">
        <v>399</v>
      </c>
      <c r="C59" s="59">
        <v>896</v>
      </c>
      <c r="D59" s="59">
        <v>497</v>
      </c>
      <c r="E59" s="60">
        <v>0.5546875</v>
      </c>
      <c r="F59" s="61" t="s">
        <v>11</v>
      </c>
      <c r="G59" s="61"/>
      <c r="H59" s="62"/>
      <c r="I59" s="61"/>
      <c r="J59" s="61" t="s">
        <v>16</v>
      </c>
      <c r="K59" s="105" t="s">
        <v>11</v>
      </c>
    </row>
    <row r="60" spans="1:11" x14ac:dyDescent="0.35">
      <c r="A60" s="102" t="s">
        <v>109</v>
      </c>
      <c r="B60" s="55">
        <v>2170</v>
      </c>
      <c r="C60" s="55">
        <v>2500</v>
      </c>
      <c r="D60" s="55">
        <v>330</v>
      </c>
      <c r="E60" s="56">
        <v>0.13200000000000001</v>
      </c>
      <c r="F60" s="57" t="s">
        <v>15</v>
      </c>
      <c r="G60" s="57">
        <v>6</v>
      </c>
      <c r="H60" s="58">
        <v>2.5</v>
      </c>
      <c r="I60" s="57" t="s">
        <v>110</v>
      </c>
      <c r="J60" s="57" t="s">
        <v>14</v>
      </c>
      <c r="K60" s="104" t="s">
        <v>15</v>
      </c>
    </row>
    <row r="61" spans="1:11" x14ac:dyDescent="0.35">
      <c r="A61" s="103" t="s">
        <v>111</v>
      </c>
      <c r="B61" s="59">
        <v>458</v>
      </c>
      <c r="C61" s="59">
        <v>986</v>
      </c>
      <c r="D61" s="59">
        <v>528</v>
      </c>
      <c r="E61" s="60">
        <v>0.535496957403651</v>
      </c>
      <c r="F61" s="61" t="s">
        <v>11</v>
      </c>
      <c r="G61" s="61">
        <v>10</v>
      </c>
      <c r="H61" s="62">
        <v>3</v>
      </c>
      <c r="I61" s="61" t="s">
        <v>12</v>
      </c>
      <c r="J61" s="61" t="s">
        <v>12</v>
      </c>
      <c r="K61" s="105" t="s">
        <v>11</v>
      </c>
    </row>
    <row r="62" spans="1:11" x14ac:dyDescent="0.35">
      <c r="A62" s="102" t="s">
        <v>112</v>
      </c>
      <c r="B62" s="55">
        <v>2115</v>
      </c>
      <c r="C62" s="55">
        <v>4700</v>
      </c>
      <c r="D62" s="55">
        <v>2585</v>
      </c>
      <c r="E62" s="56">
        <v>0.55000000000000004</v>
      </c>
      <c r="F62" s="57" t="s">
        <v>11</v>
      </c>
      <c r="G62" s="57">
        <v>13</v>
      </c>
      <c r="H62" s="58">
        <v>2.1</v>
      </c>
      <c r="I62" s="57" t="s">
        <v>110</v>
      </c>
      <c r="J62" s="57" t="s">
        <v>14</v>
      </c>
      <c r="K62" s="104" t="s">
        <v>11</v>
      </c>
    </row>
    <row r="63" spans="1:11" x14ac:dyDescent="0.35">
      <c r="A63" s="103" t="s">
        <v>113</v>
      </c>
      <c r="B63" s="59">
        <v>445</v>
      </c>
      <c r="C63" s="59">
        <v>873</v>
      </c>
      <c r="D63" s="59">
        <v>428</v>
      </c>
      <c r="E63" s="60">
        <v>0.49026345933562399</v>
      </c>
      <c r="F63" s="61" t="s">
        <v>11</v>
      </c>
      <c r="G63" s="61">
        <v>69</v>
      </c>
      <c r="H63" s="62">
        <v>2.8</v>
      </c>
      <c r="I63" s="61" t="s">
        <v>110</v>
      </c>
      <c r="J63" s="61" t="s">
        <v>14</v>
      </c>
      <c r="K63" s="105" t="s">
        <v>11</v>
      </c>
    </row>
    <row r="64" spans="1:11" x14ac:dyDescent="0.35">
      <c r="A64" s="102" t="s">
        <v>114</v>
      </c>
      <c r="B64" s="55">
        <v>325</v>
      </c>
      <c r="C64" s="55">
        <v>680</v>
      </c>
      <c r="D64" s="55">
        <v>355</v>
      </c>
      <c r="E64" s="56">
        <v>0.52205882352941202</v>
      </c>
      <c r="F64" s="57" t="s">
        <v>11</v>
      </c>
      <c r="G64" s="57">
        <v>15</v>
      </c>
      <c r="H64" s="58">
        <v>2.7</v>
      </c>
      <c r="I64" s="57" t="s">
        <v>110</v>
      </c>
      <c r="J64" s="57" t="s">
        <v>14</v>
      </c>
      <c r="K64" s="104" t="s">
        <v>11</v>
      </c>
    </row>
    <row r="65" spans="1:11" x14ac:dyDescent="0.35">
      <c r="A65" s="103" t="s">
        <v>115</v>
      </c>
      <c r="B65" s="59">
        <v>1220</v>
      </c>
      <c r="C65" s="59">
        <v>1555</v>
      </c>
      <c r="D65" s="59">
        <v>335</v>
      </c>
      <c r="E65" s="60">
        <v>0.21543408360128599</v>
      </c>
      <c r="F65" s="61" t="s">
        <v>13</v>
      </c>
      <c r="G65" s="61">
        <v>16</v>
      </c>
      <c r="H65" s="62">
        <v>2.9</v>
      </c>
      <c r="I65" s="61" t="s">
        <v>110</v>
      </c>
      <c r="J65" s="61" t="s">
        <v>14</v>
      </c>
      <c r="K65" s="105" t="s">
        <v>13</v>
      </c>
    </row>
    <row r="66" spans="1:11" x14ac:dyDescent="0.35">
      <c r="A66" s="102" t="s">
        <v>116</v>
      </c>
      <c r="B66" s="55">
        <v>990</v>
      </c>
      <c r="C66" s="55">
        <v>1814</v>
      </c>
      <c r="D66" s="55">
        <v>824</v>
      </c>
      <c r="E66" s="56">
        <v>0.45424476295479599</v>
      </c>
      <c r="F66" s="57" t="s">
        <v>11</v>
      </c>
      <c r="G66" s="57">
        <v>6</v>
      </c>
      <c r="H66" s="58">
        <v>2.2000000000000002</v>
      </c>
      <c r="I66" s="57" t="s">
        <v>110</v>
      </c>
      <c r="J66" s="57" t="s">
        <v>14</v>
      </c>
      <c r="K66" s="104" t="s">
        <v>11</v>
      </c>
    </row>
    <row r="67" spans="1:11" x14ac:dyDescent="0.35">
      <c r="A67" s="103" t="s">
        <v>117</v>
      </c>
      <c r="B67" s="59">
        <v>1000</v>
      </c>
      <c r="C67" s="59">
        <v>2000</v>
      </c>
      <c r="D67" s="59">
        <v>1000</v>
      </c>
      <c r="E67" s="60">
        <v>0.5</v>
      </c>
      <c r="F67" s="61" t="s">
        <v>11</v>
      </c>
      <c r="G67" s="61">
        <v>7</v>
      </c>
      <c r="H67" s="62">
        <v>2.2999999999999998</v>
      </c>
      <c r="I67" s="61" t="s">
        <v>110</v>
      </c>
      <c r="J67" s="61" t="s">
        <v>14</v>
      </c>
      <c r="K67" s="105" t="s">
        <v>11</v>
      </c>
    </row>
    <row r="68" spans="1:11" x14ac:dyDescent="0.35">
      <c r="A68" s="102" t="s">
        <v>118</v>
      </c>
      <c r="B68" s="55">
        <v>3750</v>
      </c>
      <c r="C68" s="55">
        <v>6143</v>
      </c>
      <c r="D68" s="55">
        <v>2393</v>
      </c>
      <c r="E68" s="56">
        <v>0.38954908025394802</v>
      </c>
      <c r="F68" s="57" t="s">
        <v>13</v>
      </c>
      <c r="G68" s="57">
        <v>5</v>
      </c>
      <c r="H68" s="58">
        <v>3</v>
      </c>
      <c r="I68" s="57" t="s">
        <v>12</v>
      </c>
      <c r="J68" s="57" t="s">
        <v>12</v>
      </c>
      <c r="K68" s="104" t="s">
        <v>13</v>
      </c>
    </row>
    <row r="69" spans="1:11" x14ac:dyDescent="0.35">
      <c r="A69" s="103" t="s">
        <v>119</v>
      </c>
      <c r="B69" s="59">
        <v>382</v>
      </c>
      <c r="C69" s="59">
        <v>700</v>
      </c>
      <c r="D69" s="59">
        <v>318</v>
      </c>
      <c r="E69" s="60">
        <v>0.45428571428571402</v>
      </c>
      <c r="F69" s="61" t="s">
        <v>11</v>
      </c>
      <c r="G69" s="61">
        <v>17</v>
      </c>
      <c r="H69" s="62">
        <v>2.6</v>
      </c>
      <c r="I69" s="61" t="s">
        <v>110</v>
      </c>
      <c r="J69" s="61" t="s">
        <v>14</v>
      </c>
      <c r="K69" s="105" t="s">
        <v>11</v>
      </c>
    </row>
    <row r="70" spans="1:11" x14ac:dyDescent="0.35">
      <c r="A70" s="102" t="s">
        <v>120</v>
      </c>
      <c r="B70" s="55">
        <v>2300</v>
      </c>
      <c r="C70" s="55">
        <v>3240</v>
      </c>
      <c r="D70" s="55">
        <v>940</v>
      </c>
      <c r="E70" s="56">
        <v>0.29012345679012302</v>
      </c>
      <c r="F70" s="57" t="s">
        <v>13</v>
      </c>
      <c r="G70" s="57">
        <v>5</v>
      </c>
      <c r="H70" s="58">
        <v>3</v>
      </c>
      <c r="I70" s="57" t="s">
        <v>12</v>
      </c>
      <c r="J70" s="57" t="s">
        <v>12</v>
      </c>
      <c r="K70" s="104" t="s">
        <v>13</v>
      </c>
    </row>
    <row r="71" spans="1:11" x14ac:dyDescent="0.35">
      <c r="A71" s="103" t="s">
        <v>121</v>
      </c>
      <c r="B71" s="59">
        <v>345</v>
      </c>
      <c r="C71" s="59">
        <v>602</v>
      </c>
      <c r="D71" s="59">
        <v>257</v>
      </c>
      <c r="E71" s="60">
        <v>0.426910299003322</v>
      </c>
      <c r="F71" s="61" t="s">
        <v>11</v>
      </c>
      <c r="G71" s="61">
        <v>6</v>
      </c>
      <c r="H71" s="62">
        <v>2.2999999999999998</v>
      </c>
      <c r="I71" s="61" t="s">
        <v>110</v>
      </c>
      <c r="J71" s="61" t="s">
        <v>14</v>
      </c>
      <c r="K71" s="105" t="s">
        <v>11</v>
      </c>
    </row>
    <row r="72" spans="1:11" x14ac:dyDescent="0.35">
      <c r="A72" s="102" t="s">
        <v>122</v>
      </c>
      <c r="B72" s="55">
        <v>509</v>
      </c>
      <c r="C72" s="55">
        <v>899</v>
      </c>
      <c r="D72" s="55">
        <v>390</v>
      </c>
      <c r="E72" s="56">
        <v>0.43381535038932101</v>
      </c>
      <c r="F72" s="57" t="s">
        <v>11</v>
      </c>
      <c r="G72" s="57">
        <v>5</v>
      </c>
      <c r="H72" s="58">
        <v>3</v>
      </c>
      <c r="I72" s="57" t="s">
        <v>12</v>
      </c>
      <c r="J72" s="57" t="s">
        <v>12</v>
      </c>
      <c r="K72" s="104" t="s">
        <v>11</v>
      </c>
    </row>
    <row r="73" spans="1:11" x14ac:dyDescent="0.35">
      <c r="A73" s="103" t="s">
        <v>123</v>
      </c>
      <c r="B73" s="59">
        <v>968</v>
      </c>
      <c r="C73" s="59">
        <v>1814</v>
      </c>
      <c r="D73" s="59">
        <v>846</v>
      </c>
      <c r="E73" s="60">
        <v>0.466372657111356</v>
      </c>
      <c r="F73" s="61" t="s">
        <v>11</v>
      </c>
      <c r="G73" s="61">
        <v>6</v>
      </c>
      <c r="H73" s="62">
        <v>2.2000000000000002</v>
      </c>
      <c r="I73" s="61" t="s">
        <v>110</v>
      </c>
      <c r="J73" s="61" t="s">
        <v>14</v>
      </c>
      <c r="K73" s="105" t="s">
        <v>11</v>
      </c>
    </row>
    <row r="74" spans="1:11" x14ac:dyDescent="0.35">
      <c r="A74" s="102" t="s">
        <v>124</v>
      </c>
      <c r="B74" s="55">
        <v>1570</v>
      </c>
      <c r="C74" s="55">
        <v>2988</v>
      </c>
      <c r="D74" s="55">
        <v>1418</v>
      </c>
      <c r="E74" s="56">
        <v>0.47456492637215503</v>
      </c>
      <c r="F74" s="57" t="s">
        <v>11</v>
      </c>
      <c r="G74" s="57">
        <v>7</v>
      </c>
      <c r="H74" s="58">
        <v>2.1</v>
      </c>
      <c r="I74" s="57" t="s">
        <v>110</v>
      </c>
      <c r="J74" s="57" t="s">
        <v>14</v>
      </c>
      <c r="K74" s="104" t="s">
        <v>11</v>
      </c>
    </row>
    <row r="75" spans="1:11" x14ac:dyDescent="0.35">
      <c r="A75" s="103" t="s">
        <v>125</v>
      </c>
      <c r="B75" s="59">
        <v>790</v>
      </c>
      <c r="C75" s="59">
        <v>1485</v>
      </c>
      <c r="D75" s="59">
        <v>695</v>
      </c>
      <c r="E75" s="60">
        <v>0.46801346801346799</v>
      </c>
      <c r="F75" s="61" t="s">
        <v>11</v>
      </c>
      <c r="G75" s="61"/>
      <c r="H75" s="62"/>
      <c r="I75" s="61"/>
      <c r="J75" s="61" t="s">
        <v>16</v>
      </c>
      <c r="K75" s="105" t="s">
        <v>11</v>
      </c>
    </row>
    <row r="76" spans="1:11" x14ac:dyDescent="0.35">
      <c r="A76" s="102" t="s">
        <v>126</v>
      </c>
      <c r="B76" s="55">
        <v>690</v>
      </c>
      <c r="C76" s="55">
        <v>1200</v>
      </c>
      <c r="D76" s="55">
        <v>510</v>
      </c>
      <c r="E76" s="56">
        <v>0.42499999999999999</v>
      </c>
      <c r="F76" s="57" t="s">
        <v>11</v>
      </c>
      <c r="G76" s="57"/>
      <c r="H76" s="58"/>
      <c r="I76" s="57"/>
      <c r="J76" s="57" t="s">
        <v>16</v>
      </c>
      <c r="K76" s="104" t="s">
        <v>11</v>
      </c>
    </row>
    <row r="77" spans="1:11" x14ac:dyDescent="0.35">
      <c r="A77" s="103" t="s">
        <v>127</v>
      </c>
      <c r="B77" s="59">
        <v>1732</v>
      </c>
      <c r="C77" s="59">
        <v>1799</v>
      </c>
      <c r="D77" s="59">
        <v>67</v>
      </c>
      <c r="E77" s="60">
        <v>3.72429127292941E-2</v>
      </c>
      <c r="F77" s="61" t="s">
        <v>15</v>
      </c>
      <c r="G77" s="61"/>
      <c r="H77" s="62"/>
      <c r="I77" s="61"/>
      <c r="J77" s="61" t="s">
        <v>16</v>
      </c>
      <c r="K77" s="105" t="s">
        <v>15</v>
      </c>
    </row>
    <row r="78" spans="1:11" x14ac:dyDescent="0.35">
      <c r="A78" s="102" t="s">
        <v>128</v>
      </c>
      <c r="B78" s="55">
        <v>230</v>
      </c>
      <c r="C78" s="55">
        <v>450</v>
      </c>
      <c r="D78" s="55">
        <v>220</v>
      </c>
      <c r="E78" s="56">
        <v>0.48888888888888898</v>
      </c>
      <c r="F78" s="57" t="s">
        <v>11</v>
      </c>
      <c r="G78" s="57"/>
      <c r="H78" s="58"/>
      <c r="I78" s="57"/>
      <c r="J78" s="57" t="s">
        <v>16</v>
      </c>
      <c r="K78" s="104" t="s">
        <v>11</v>
      </c>
    </row>
    <row r="79" spans="1:11" x14ac:dyDescent="0.35">
      <c r="A79" s="103" t="s">
        <v>129</v>
      </c>
      <c r="B79" s="59">
        <v>1189</v>
      </c>
      <c r="C79" s="59">
        <v>2199</v>
      </c>
      <c r="D79" s="59">
        <v>1010</v>
      </c>
      <c r="E79" s="60">
        <v>0.459299681673488</v>
      </c>
      <c r="F79" s="61" t="s">
        <v>11</v>
      </c>
      <c r="G79" s="61">
        <v>1</v>
      </c>
      <c r="H79" s="62">
        <v>3</v>
      </c>
      <c r="I79" s="61" t="s">
        <v>12</v>
      </c>
      <c r="J79" s="61" t="s">
        <v>12</v>
      </c>
      <c r="K79" s="105" t="s">
        <v>11</v>
      </c>
    </row>
    <row r="80" spans="1:11" x14ac:dyDescent="0.35">
      <c r="A80" s="102" t="s">
        <v>130</v>
      </c>
      <c r="B80" s="55">
        <v>979</v>
      </c>
      <c r="C80" s="55">
        <v>1920</v>
      </c>
      <c r="D80" s="55">
        <v>941</v>
      </c>
      <c r="E80" s="56">
        <v>0.49010416666666701</v>
      </c>
      <c r="F80" s="57" t="s">
        <v>11</v>
      </c>
      <c r="G80" s="57">
        <v>1</v>
      </c>
      <c r="H80" s="58">
        <v>5</v>
      </c>
      <c r="I80" s="57" t="s">
        <v>52</v>
      </c>
      <c r="J80" s="57" t="s">
        <v>10</v>
      </c>
      <c r="K80" s="104" t="s">
        <v>11</v>
      </c>
    </row>
    <row r="81" spans="1:11" x14ac:dyDescent="0.35">
      <c r="A81" s="103" t="s">
        <v>131</v>
      </c>
      <c r="B81" s="59">
        <v>1460</v>
      </c>
      <c r="C81" s="59">
        <v>2290</v>
      </c>
      <c r="D81" s="59">
        <v>830</v>
      </c>
      <c r="E81" s="60">
        <v>0.36244541484716197</v>
      </c>
      <c r="F81" s="61" t="s">
        <v>13</v>
      </c>
      <c r="G81" s="61"/>
      <c r="H81" s="62"/>
      <c r="I81" s="61"/>
      <c r="J81" s="61" t="s">
        <v>16</v>
      </c>
      <c r="K81" s="105" t="s">
        <v>13</v>
      </c>
    </row>
    <row r="82" spans="1:11" x14ac:dyDescent="0.35">
      <c r="A82" s="102" t="s">
        <v>132</v>
      </c>
      <c r="B82" s="55">
        <v>1666</v>
      </c>
      <c r="C82" s="55">
        <v>1699</v>
      </c>
      <c r="D82" s="55">
        <v>33</v>
      </c>
      <c r="E82" s="56">
        <v>1.94231901118305E-2</v>
      </c>
      <c r="F82" s="57" t="s">
        <v>15</v>
      </c>
      <c r="G82" s="57"/>
      <c r="H82" s="58"/>
      <c r="I82" s="57"/>
      <c r="J82" s="57" t="s">
        <v>16</v>
      </c>
      <c r="K82" s="104" t="s">
        <v>15</v>
      </c>
    </row>
    <row r="83" spans="1:11" x14ac:dyDescent="0.35">
      <c r="A83" s="103" t="s">
        <v>133</v>
      </c>
      <c r="B83" s="59">
        <v>330</v>
      </c>
      <c r="C83" s="59">
        <v>647</v>
      </c>
      <c r="D83" s="59">
        <v>317</v>
      </c>
      <c r="E83" s="60">
        <v>0.48995363214837701</v>
      </c>
      <c r="F83" s="61" t="s">
        <v>11</v>
      </c>
      <c r="G83" s="61">
        <v>1</v>
      </c>
      <c r="H83" s="62">
        <v>4</v>
      </c>
      <c r="I83" s="61" t="s">
        <v>12</v>
      </c>
      <c r="J83" s="61" t="s">
        <v>12</v>
      </c>
      <c r="K83" s="105" t="s">
        <v>11</v>
      </c>
    </row>
    <row r="84" spans="1:11" x14ac:dyDescent="0.35">
      <c r="A84" s="102" t="s">
        <v>99</v>
      </c>
      <c r="B84" s="55">
        <v>176</v>
      </c>
      <c r="C84" s="55">
        <v>345</v>
      </c>
      <c r="D84" s="55">
        <v>169</v>
      </c>
      <c r="E84" s="56">
        <v>0.48985507246376803</v>
      </c>
      <c r="F84" s="57" t="s">
        <v>11</v>
      </c>
      <c r="G84" s="57"/>
      <c r="H84" s="58"/>
      <c r="I84" s="57"/>
      <c r="J84" s="57" t="s">
        <v>16</v>
      </c>
      <c r="K84" s="104" t="s">
        <v>11</v>
      </c>
    </row>
    <row r="85" spans="1:11" x14ac:dyDescent="0.35">
      <c r="A85" s="103" t="s">
        <v>134</v>
      </c>
      <c r="B85" s="59">
        <v>1466</v>
      </c>
      <c r="C85" s="59">
        <v>1699</v>
      </c>
      <c r="D85" s="59">
        <v>233</v>
      </c>
      <c r="E85" s="60">
        <v>0.13713949381989399</v>
      </c>
      <c r="F85" s="61" t="s">
        <v>15</v>
      </c>
      <c r="G85" s="61"/>
      <c r="H85" s="62"/>
      <c r="I85" s="61"/>
      <c r="J85" s="61" t="s">
        <v>16</v>
      </c>
      <c r="K85" s="105" t="s">
        <v>15</v>
      </c>
    </row>
    <row r="86" spans="1:11" x14ac:dyDescent="0.35">
      <c r="A86" s="102" t="s">
        <v>135</v>
      </c>
      <c r="B86" s="55">
        <v>274</v>
      </c>
      <c r="C86" s="55">
        <v>537</v>
      </c>
      <c r="D86" s="55">
        <v>263</v>
      </c>
      <c r="E86" s="56">
        <v>0.48975791433892002</v>
      </c>
      <c r="F86" s="57" t="s">
        <v>11</v>
      </c>
      <c r="G86" s="57"/>
      <c r="H86" s="58"/>
      <c r="I86" s="57"/>
      <c r="J86" s="57" t="s">
        <v>16</v>
      </c>
      <c r="K86" s="104" t="s">
        <v>11</v>
      </c>
    </row>
    <row r="87" spans="1:11" x14ac:dyDescent="0.35">
      <c r="A87" s="103" t="s">
        <v>136</v>
      </c>
      <c r="B87" s="59">
        <v>799</v>
      </c>
      <c r="C87" s="59">
        <v>900</v>
      </c>
      <c r="D87" s="59">
        <v>101</v>
      </c>
      <c r="E87" s="60">
        <v>0.112222222222222</v>
      </c>
      <c r="F87" s="61" t="s">
        <v>15</v>
      </c>
      <c r="G87" s="61"/>
      <c r="H87" s="62"/>
      <c r="I87" s="61"/>
      <c r="J87" s="61" t="s">
        <v>16</v>
      </c>
      <c r="K87" s="105" t="s">
        <v>15</v>
      </c>
    </row>
    <row r="88" spans="1:11" x14ac:dyDescent="0.35">
      <c r="A88" s="102" t="s">
        <v>107</v>
      </c>
      <c r="B88" s="55">
        <v>657</v>
      </c>
      <c r="C88" s="55">
        <v>1288</v>
      </c>
      <c r="D88" s="55">
        <v>631</v>
      </c>
      <c r="E88" s="56">
        <v>0.48990683229813697</v>
      </c>
      <c r="F88" s="57" t="s">
        <v>11</v>
      </c>
      <c r="G88" s="57"/>
      <c r="H88" s="58"/>
      <c r="I88" s="57"/>
      <c r="J88" s="57" t="s">
        <v>16</v>
      </c>
      <c r="K88" s="104" t="s">
        <v>11</v>
      </c>
    </row>
    <row r="89" spans="1:11" x14ac:dyDescent="0.35">
      <c r="A89" s="103" t="s">
        <v>137</v>
      </c>
      <c r="B89" s="59">
        <v>1468</v>
      </c>
      <c r="C89" s="59">
        <v>1699</v>
      </c>
      <c r="D89" s="59">
        <v>231</v>
      </c>
      <c r="E89" s="60">
        <v>0.135962330782813</v>
      </c>
      <c r="F89" s="61" t="s">
        <v>15</v>
      </c>
      <c r="G89" s="61"/>
      <c r="H89" s="62"/>
      <c r="I89" s="61"/>
      <c r="J89" s="61" t="s">
        <v>16</v>
      </c>
      <c r="K89" s="105" t="s">
        <v>15</v>
      </c>
    </row>
    <row r="90" spans="1:11" x14ac:dyDescent="0.35">
      <c r="A90" s="102" t="s">
        <v>138</v>
      </c>
      <c r="B90" s="55">
        <v>630</v>
      </c>
      <c r="C90" s="55">
        <v>1100</v>
      </c>
      <c r="D90" s="55">
        <v>470</v>
      </c>
      <c r="E90" s="56">
        <v>0.42727272727272703</v>
      </c>
      <c r="F90" s="57" t="s">
        <v>11</v>
      </c>
      <c r="G90" s="57"/>
      <c r="H90" s="58"/>
      <c r="I90" s="57"/>
      <c r="J90" s="57" t="s">
        <v>16</v>
      </c>
      <c r="K90" s="104" t="s">
        <v>11</v>
      </c>
    </row>
    <row r="91" spans="1:11" x14ac:dyDescent="0.35">
      <c r="A91" s="103" t="s">
        <v>139</v>
      </c>
      <c r="B91" s="59">
        <v>850</v>
      </c>
      <c r="C91" s="59">
        <v>1700</v>
      </c>
      <c r="D91" s="59">
        <v>850</v>
      </c>
      <c r="E91" s="60">
        <v>0.5</v>
      </c>
      <c r="F91" s="61" t="s">
        <v>11</v>
      </c>
      <c r="G91" s="61"/>
      <c r="H91" s="62"/>
      <c r="I91" s="61"/>
      <c r="J91" s="61" t="s">
        <v>16</v>
      </c>
      <c r="K91" s="105" t="s">
        <v>11</v>
      </c>
    </row>
    <row r="92" spans="1:11" x14ac:dyDescent="0.35">
      <c r="A92" s="102" t="s">
        <v>140</v>
      </c>
      <c r="B92" s="55">
        <v>1300</v>
      </c>
      <c r="C92" s="55">
        <v>2500</v>
      </c>
      <c r="D92" s="55">
        <v>1200</v>
      </c>
      <c r="E92" s="56">
        <v>0.48</v>
      </c>
      <c r="F92" s="57" t="s">
        <v>11</v>
      </c>
      <c r="G92" s="57"/>
      <c r="H92" s="58"/>
      <c r="I92" s="57"/>
      <c r="J92" s="57" t="s">
        <v>16</v>
      </c>
      <c r="K92" s="104" t="s">
        <v>11</v>
      </c>
    </row>
    <row r="93" spans="1:11" x14ac:dyDescent="0.35">
      <c r="A93" s="103" t="s">
        <v>141</v>
      </c>
      <c r="B93" s="59">
        <v>105</v>
      </c>
      <c r="C93" s="59">
        <v>200</v>
      </c>
      <c r="D93" s="59">
        <v>95</v>
      </c>
      <c r="E93" s="60">
        <v>0.47499999999999998</v>
      </c>
      <c r="F93" s="61" t="s">
        <v>11</v>
      </c>
      <c r="G93" s="61"/>
      <c r="H93" s="62"/>
      <c r="I93" s="61"/>
      <c r="J93" s="61" t="s">
        <v>16</v>
      </c>
      <c r="K93" s="105" t="s">
        <v>11</v>
      </c>
    </row>
    <row r="94" spans="1:11" x14ac:dyDescent="0.35">
      <c r="A94" s="102" t="s">
        <v>142</v>
      </c>
      <c r="B94" s="55">
        <v>899</v>
      </c>
      <c r="C94" s="55">
        <v>1699</v>
      </c>
      <c r="D94" s="55">
        <v>800</v>
      </c>
      <c r="E94" s="56">
        <v>0.47086521483225402</v>
      </c>
      <c r="F94" s="57" t="s">
        <v>11</v>
      </c>
      <c r="G94" s="57"/>
      <c r="H94" s="58"/>
      <c r="I94" s="57"/>
      <c r="J94" s="57" t="s">
        <v>16</v>
      </c>
      <c r="K94" s="104" t="s">
        <v>11</v>
      </c>
    </row>
    <row r="95" spans="1:11" x14ac:dyDescent="0.35">
      <c r="A95" s="103" t="s">
        <v>143</v>
      </c>
      <c r="B95" s="59">
        <v>1200</v>
      </c>
      <c r="C95" s="59">
        <v>2400</v>
      </c>
      <c r="D95" s="59">
        <v>1200</v>
      </c>
      <c r="E95" s="60">
        <v>0.5</v>
      </c>
      <c r="F95" s="61" t="s">
        <v>11</v>
      </c>
      <c r="G95" s="61"/>
      <c r="H95" s="62"/>
      <c r="I95" s="61"/>
      <c r="J95" s="61" t="s">
        <v>16</v>
      </c>
      <c r="K95" s="105" t="s">
        <v>11</v>
      </c>
    </row>
    <row r="96" spans="1:11" x14ac:dyDescent="0.35">
      <c r="A96" s="102" t="s">
        <v>144</v>
      </c>
      <c r="B96" s="55">
        <v>1526</v>
      </c>
      <c r="C96" s="55">
        <v>1660</v>
      </c>
      <c r="D96" s="55">
        <v>134</v>
      </c>
      <c r="E96" s="56">
        <v>8.0722891566265095E-2</v>
      </c>
      <c r="F96" s="57" t="s">
        <v>15</v>
      </c>
      <c r="G96" s="57"/>
      <c r="H96" s="58"/>
      <c r="I96" s="57"/>
      <c r="J96" s="57" t="s">
        <v>16</v>
      </c>
      <c r="K96" s="104" t="s">
        <v>15</v>
      </c>
    </row>
    <row r="97" spans="1:11" x14ac:dyDescent="0.35">
      <c r="A97" s="103" t="s">
        <v>145</v>
      </c>
      <c r="B97" s="59">
        <v>1462</v>
      </c>
      <c r="C97" s="59">
        <v>1499</v>
      </c>
      <c r="D97" s="59">
        <v>37</v>
      </c>
      <c r="E97" s="60">
        <v>2.46831220813876E-2</v>
      </c>
      <c r="F97" s="61" t="s">
        <v>15</v>
      </c>
      <c r="G97" s="61"/>
      <c r="H97" s="62"/>
      <c r="I97" s="61"/>
      <c r="J97" s="61" t="s">
        <v>16</v>
      </c>
      <c r="K97" s="105" t="s">
        <v>15</v>
      </c>
    </row>
    <row r="98" spans="1:11" x14ac:dyDescent="0.35">
      <c r="A98" s="102" t="s">
        <v>146</v>
      </c>
      <c r="B98" s="55">
        <v>248</v>
      </c>
      <c r="C98" s="55">
        <v>486</v>
      </c>
      <c r="D98" s="55">
        <v>238</v>
      </c>
      <c r="E98" s="56">
        <v>0.48971193415637898</v>
      </c>
      <c r="F98" s="57" t="s">
        <v>11</v>
      </c>
      <c r="G98" s="57"/>
      <c r="H98" s="58"/>
      <c r="I98" s="57"/>
      <c r="J98" s="57" t="s">
        <v>16</v>
      </c>
      <c r="K98" s="104" t="s">
        <v>11</v>
      </c>
    </row>
    <row r="99" spans="1:11" x14ac:dyDescent="0.35">
      <c r="A99" s="103" t="s">
        <v>147</v>
      </c>
      <c r="B99" s="59">
        <v>3546</v>
      </c>
      <c r="C99" s="59">
        <v>3699</v>
      </c>
      <c r="D99" s="59">
        <v>153</v>
      </c>
      <c r="E99" s="60">
        <v>4.1362530413625302E-2</v>
      </c>
      <c r="F99" s="61" t="s">
        <v>15</v>
      </c>
      <c r="G99" s="61"/>
      <c r="H99" s="62"/>
      <c r="I99" s="61"/>
      <c r="J99" s="61" t="s">
        <v>16</v>
      </c>
      <c r="K99" s="105" t="s">
        <v>15</v>
      </c>
    </row>
    <row r="100" spans="1:11" x14ac:dyDescent="0.35">
      <c r="A100" s="102" t="s">
        <v>148</v>
      </c>
      <c r="B100" s="55">
        <v>525</v>
      </c>
      <c r="C100" s="55">
        <v>1029</v>
      </c>
      <c r="D100" s="55">
        <v>504</v>
      </c>
      <c r="E100" s="56">
        <v>0.48979591836734698</v>
      </c>
      <c r="F100" s="57" t="s">
        <v>11</v>
      </c>
      <c r="G100" s="57"/>
      <c r="H100" s="58"/>
      <c r="I100" s="57"/>
      <c r="J100" s="57" t="s">
        <v>16</v>
      </c>
      <c r="K100" s="104" t="s">
        <v>11</v>
      </c>
    </row>
    <row r="101" spans="1:11" x14ac:dyDescent="0.35">
      <c r="A101" s="103" t="s">
        <v>149</v>
      </c>
      <c r="B101" s="59">
        <v>1080</v>
      </c>
      <c r="C101" s="59">
        <v>1874</v>
      </c>
      <c r="D101" s="59">
        <v>794</v>
      </c>
      <c r="E101" s="60">
        <v>0.42369263607257202</v>
      </c>
      <c r="F101" s="61" t="s">
        <v>11</v>
      </c>
      <c r="G101" s="61"/>
      <c r="H101" s="62"/>
      <c r="I101" s="61"/>
      <c r="J101" s="61" t="s">
        <v>16</v>
      </c>
      <c r="K101" s="105" t="s">
        <v>11</v>
      </c>
    </row>
    <row r="102" spans="1:11" x14ac:dyDescent="0.35">
      <c r="A102" s="102" t="s">
        <v>150</v>
      </c>
      <c r="B102" s="55">
        <v>3640</v>
      </c>
      <c r="C102" s="55">
        <v>4588</v>
      </c>
      <c r="D102" s="55">
        <v>948</v>
      </c>
      <c r="E102" s="56">
        <v>0.20662598081952899</v>
      </c>
      <c r="F102" s="57" t="s">
        <v>13</v>
      </c>
      <c r="G102" s="57">
        <v>1</v>
      </c>
      <c r="H102" s="58">
        <v>5</v>
      </c>
      <c r="I102" s="57" t="s">
        <v>52</v>
      </c>
      <c r="J102" s="57" t="s">
        <v>10</v>
      </c>
      <c r="K102" s="104" t="s">
        <v>13</v>
      </c>
    </row>
    <row r="103" spans="1:11" x14ac:dyDescent="0.35">
      <c r="A103" s="103" t="s">
        <v>151</v>
      </c>
      <c r="B103" s="59">
        <v>1420</v>
      </c>
      <c r="C103" s="59">
        <v>2420</v>
      </c>
      <c r="D103" s="59">
        <v>1000</v>
      </c>
      <c r="E103" s="60">
        <v>0.413223140495868</v>
      </c>
      <c r="F103" s="61" t="s">
        <v>11</v>
      </c>
      <c r="G103" s="61"/>
      <c r="H103" s="62"/>
      <c r="I103" s="61"/>
      <c r="J103" s="61" t="s">
        <v>16</v>
      </c>
      <c r="K103" s="105" t="s">
        <v>11</v>
      </c>
    </row>
    <row r="104" spans="1:11" x14ac:dyDescent="0.35">
      <c r="A104" s="102" t="s">
        <v>152</v>
      </c>
      <c r="B104" s="55">
        <v>1875</v>
      </c>
      <c r="C104" s="55">
        <v>1899</v>
      </c>
      <c r="D104" s="55">
        <v>24</v>
      </c>
      <c r="E104" s="56">
        <v>1.26382306477093E-2</v>
      </c>
      <c r="F104" s="57" t="s">
        <v>15</v>
      </c>
      <c r="G104" s="57"/>
      <c r="H104" s="58"/>
      <c r="I104" s="57"/>
      <c r="J104" s="57" t="s">
        <v>16</v>
      </c>
      <c r="K104" s="104" t="s">
        <v>15</v>
      </c>
    </row>
    <row r="105" spans="1:11" x14ac:dyDescent="0.35">
      <c r="A105" s="103" t="s">
        <v>153</v>
      </c>
      <c r="B105" s="59">
        <v>198</v>
      </c>
      <c r="C105" s="59">
        <v>260</v>
      </c>
      <c r="D105" s="59">
        <v>62</v>
      </c>
      <c r="E105" s="60">
        <v>0.238461538461538</v>
      </c>
      <c r="F105" s="61" t="s">
        <v>13</v>
      </c>
      <c r="G105" s="61"/>
      <c r="H105" s="62"/>
      <c r="I105" s="61"/>
      <c r="J105" s="61" t="s">
        <v>16</v>
      </c>
      <c r="K105" s="105" t="s">
        <v>13</v>
      </c>
    </row>
    <row r="106" spans="1:11" x14ac:dyDescent="0.35">
      <c r="A106" s="102" t="s">
        <v>154</v>
      </c>
      <c r="B106" s="55">
        <v>1150</v>
      </c>
      <c r="C106" s="55">
        <v>1737</v>
      </c>
      <c r="D106" s="55">
        <v>587</v>
      </c>
      <c r="E106" s="56">
        <v>0.33793897524467498</v>
      </c>
      <c r="F106" s="57" t="s">
        <v>13</v>
      </c>
      <c r="G106" s="57"/>
      <c r="H106" s="58"/>
      <c r="I106" s="57"/>
      <c r="J106" s="57" t="s">
        <v>16</v>
      </c>
      <c r="K106" s="104" t="s">
        <v>13</v>
      </c>
    </row>
    <row r="107" spans="1:11" x14ac:dyDescent="0.35">
      <c r="A107" s="103" t="s">
        <v>155</v>
      </c>
      <c r="B107" s="59">
        <v>1190</v>
      </c>
      <c r="C107" s="59">
        <v>1810</v>
      </c>
      <c r="D107" s="59">
        <v>620</v>
      </c>
      <c r="E107" s="60">
        <v>0.34254143646408802</v>
      </c>
      <c r="F107" s="61" t="s">
        <v>13</v>
      </c>
      <c r="G107" s="61"/>
      <c r="H107" s="62"/>
      <c r="I107" s="61"/>
      <c r="J107" s="61" t="s">
        <v>16</v>
      </c>
      <c r="K107" s="105" t="s">
        <v>13</v>
      </c>
    </row>
    <row r="108" spans="1:11" x14ac:dyDescent="0.35">
      <c r="A108" s="102" t="s">
        <v>156</v>
      </c>
      <c r="B108" s="55">
        <v>1658</v>
      </c>
      <c r="C108" s="55">
        <v>1699</v>
      </c>
      <c r="D108" s="55">
        <v>41</v>
      </c>
      <c r="E108" s="56">
        <v>2.4131842260153E-2</v>
      </c>
      <c r="F108" s="57" t="s">
        <v>15</v>
      </c>
      <c r="G108" s="57"/>
      <c r="H108" s="58"/>
      <c r="I108" s="57"/>
      <c r="J108" s="57" t="s">
        <v>16</v>
      </c>
      <c r="K108" s="104" t="s">
        <v>15</v>
      </c>
    </row>
    <row r="109" spans="1:11" x14ac:dyDescent="0.35">
      <c r="A109" s="103" t="s">
        <v>157</v>
      </c>
      <c r="B109" s="59">
        <v>1768</v>
      </c>
      <c r="C109" s="59">
        <v>1799</v>
      </c>
      <c r="D109" s="59">
        <v>31</v>
      </c>
      <c r="E109" s="60">
        <v>1.7231795441912199E-2</v>
      </c>
      <c r="F109" s="61" t="s">
        <v>15</v>
      </c>
      <c r="G109" s="61"/>
      <c r="H109" s="62"/>
      <c r="I109" s="61"/>
      <c r="J109" s="61" t="s">
        <v>16</v>
      </c>
      <c r="K109" s="105" t="s">
        <v>15</v>
      </c>
    </row>
    <row r="110" spans="1:11" x14ac:dyDescent="0.35">
      <c r="A110" s="102" t="s">
        <v>158</v>
      </c>
      <c r="B110" s="55">
        <v>199</v>
      </c>
      <c r="C110" s="55">
        <v>553</v>
      </c>
      <c r="D110" s="55">
        <v>354</v>
      </c>
      <c r="E110" s="56">
        <v>0.64014466546112103</v>
      </c>
      <c r="F110" s="57" t="s">
        <v>11</v>
      </c>
      <c r="G110" s="57"/>
      <c r="H110" s="58"/>
      <c r="I110" s="57"/>
      <c r="J110" s="57" t="s">
        <v>16</v>
      </c>
      <c r="K110" s="104" t="s">
        <v>11</v>
      </c>
    </row>
    <row r="111" spans="1:11" x14ac:dyDescent="0.35">
      <c r="A111" s="103" t="s">
        <v>159</v>
      </c>
      <c r="B111" s="59">
        <v>450</v>
      </c>
      <c r="C111" s="59">
        <v>900</v>
      </c>
      <c r="D111" s="59">
        <v>450</v>
      </c>
      <c r="E111" s="60">
        <v>0.5</v>
      </c>
      <c r="F111" s="61" t="s">
        <v>11</v>
      </c>
      <c r="G111" s="61">
        <v>1</v>
      </c>
      <c r="H111" s="62">
        <v>2</v>
      </c>
      <c r="I111" s="61" t="s">
        <v>110</v>
      </c>
      <c r="J111" s="61" t="s">
        <v>14</v>
      </c>
      <c r="K111" s="105" t="s">
        <v>11</v>
      </c>
    </row>
    <row r="112" spans="1:11" x14ac:dyDescent="0.35">
      <c r="A112" s="109" t="s">
        <v>160</v>
      </c>
      <c r="B112" s="110">
        <v>169</v>
      </c>
      <c r="C112" s="110">
        <v>320</v>
      </c>
      <c r="D112" s="110">
        <v>151</v>
      </c>
      <c r="E112" s="111">
        <v>0.47187499999999999</v>
      </c>
      <c r="F112" s="112" t="s">
        <v>11</v>
      </c>
      <c r="G112" s="112"/>
      <c r="H112" s="113"/>
      <c r="I112" s="112"/>
      <c r="J112" s="112" t="s">
        <v>16</v>
      </c>
      <c r="K112" s="114" t="s">
        <v>11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237E"/>
  </sheetPr>
  <dimension ref="A1:K112"/>
  <sheetViews>
    <sheetView showGridLines="0" tabSelected="1" zoomScaleNormal="100" workbookViewId="0">
      <pane ySplit="1" topLeftCell="A47" activePane="bottomLeft" state="frozen"/>
      <selection pane="bottomLeft" activeCell="E114" sqref="E114"/>
    </sheetView>
  </sheetViews>
  <sheetFormatPr defaultColWidth="8.6328125" defaultRowHeight="14.5" x14ac:dyDescent="0.35"/>
  <cols>
    <col min="1" max="1" width="52" customWidth="1"/>
    <col min="2" max="2" width="18.6328125" customWidth="1"/>
    <col min="3" max="3" width="15.1796875" customWidth="1"/>
    <col min="4" max="4" width="23" customWidth="1"/>
    <col min="5" max="5" width="13" customWidth="1"/>
    <col min="6" max="6" width="17" customWidth="1"/>
    <col min="7" max="7" width="10" customWidth="1"/>
    <col min="8" max="8" width="16.54296875" customWidth="1"/>
    <col min="9" max="9" width="13.08984375" customWidth="1"/>
    <col min="10" max="10" width="17" customWidth="1"/>
    <col min="11" max="11" width="18.1796875" customWidth="1"/>
  </cols>
  <sheetData>
    <row r="1" spans="1:11" ht="30" customHeight="1" x14ac:dyDescent="0.35">
      <c r="A1" s="90" t="s">
        <v>42</v>
      </c>
      <c r="B1" s="91" t="s">
        <v>43</v>
      </c>
      <c r="C1" s="91" t="s">
        <v>44</v>
      </c>
      <c r="D1" s="91" t="s">
        <v>45</v>
      </c>
      <c r="E1" s="91" t="s">
        <v>46</v>
      </c>
      <c r="F1" s="91" t="s">
        <v>26</v>
      </c>
      <c r="G1" s="91" t="s">
        <v>47</v>
      </c>
      <c r="H1" s="91" t="s">
        <v>48</v>
      </c>
      <c r="I1" s="91" t="s">
        <v>49</v>
      </c>
      <c r="J1" s="91" t="s">
        <v>28</v>
      </c>
      <c r="K1" s="92" t="s">
        <v>50</v>
      </c>
    </row>
    <row r="2" spans="1:11" ht="15" customHeight="1" x14ac:dyDescent="0.35">
      <c r="A2" s="87" t="s">
        <v>67</v>
      </c>
      <c r="B2" s="35">
        <v>332</v>
      </c>
      <c r="C2" s="35">
        <v>684</v>
      </c>
      <c r="D2" s="35">
        <f t="shared" ref="D2:D33" si="0">C2-B2</f>
        <v>352</v>
      </c>
      <c r="E2" s="36">
        <f t="shared" ref="E2:E33" si="1">IF(C2&gt;0,(C2-B2)/C2,0)</f>
        <v>0.51461988304093564</v>
      </c>
      <c r="F2" s="37" t="str">
        <f t="shared" ref="F2:F33" si="2">IF(E2="","N/A",IF(E2&lt;0.2,"Low Discount",IF(E2&lt;=0.4,"Medium Discount","High Discount")))</f>
        <v>High Discount</v>
      </c>
      <c r="G2" s="35">
        <v>2</v>
      </c>
      <c r="H2" s="38">
        <v>5</v>
      </c>
      <c r="I2" s="37" t="s">
        <v>52</v>
      </c>
      <c r="J2" s="37" t="str">
        <f t="shared" ref="J2:J33" si="3">IF(H2="","N/A",IF(H2&lt;3,"Poor",IF(H2&lt;4.5,"Average","Excellent")))</f>
        <v>Excellent</v>
      </c>
      <c r="K2" s="89" t="str">
        <f t="shared" ref="K2:K33" si="4">F2</f>
        <v>High Discount</v>
      </c>
    </row>
    <row r="3" spans="1:11" ht="23.9" customHeight="1" x14ac:dyDescent="0.35">
      <c r="A3" s="86" t="s">
        <v>68</v>
      </c>
      <c r="B3" s="30">
        <v>195</v>
      </c>
      <c r="C3" s="30">
        <v>360</v>
      </c>
      <c r="D3" s="30">
        <f t="shared" si="0"/>
        <v>165</v>
      </c>
      <c r="E3" s="31">
        <f t="shared" si="1"/>
        <v>0.45833333333333331</v>
      </c>
      <c r="F3" s="32" t="str">
        <f t="shared" si="2"/>
        <v>High Discount</v>
      </c>
      <c r="G3" s="30">
        <v>2</v>
      </c>
      <c r="H3" s="33">
        <v>5</v>
      </c>
      <c r="I3" s="32" t="s">
        <v>52</v>
      </c>
      <c r="J3" s="32" t="str">
        <f t="shared" si="3"/>
        <v>Excellent</v>
      </c>
      <c r="K3" s="88" t="str">
        <f t="shared" si="4"/>
        <v>High Discount</v>
      </c>
    </row>
    <row r="4" spans="1:11" ht="15" customHeight="1" x14ac:dyDescent="0.35">
      <c r="A4" s="87" t="s">
        <v>69</v>
      </c>
      <c r="B4" s="35">
        <v>2025</v>
      </c>
      <c r="C4" s="35">
        <v>3971</v>
      </c>
      <c r="D4" s="35">
        <f t="shared" si="0"/>
        <v>1946</v>
      </c>
      <c r="E4" s="36">
        <f t="shared" si="1"/>
        <v>0.49005288340468395</v>
      </c>
      <c r="F4" s="37" t="str">
        <f t="shared" si="2"/>
        <v>High Discount</v>
      </c>
      <c r="G4" s="35">
        <v>3</v>
      </c>
      <c r="H4" s="38">
        <v>5</v>
      </c>
      <c r="I4" s="37" t="s">
        <v>52</v>
      </c>
      <c r="J4" s="37" t="str">
        <f t="shared" si="3"/>
        <v>Excellent</v>
      </c>
      <c r="K4" s="89" t="str">
        <f t="shared" si="4"/>
        <v>High Discount</v>
      </c>
    </row>
    <row r="5" spans="1:11" ht="26" x14ac:dyDescent="0.35">
      <c r="A5" s="87" t="s">
        <v>87</v>
      </c>
      <c r="B5" s="35">
        <v>1620</v>
      </c>
      <c r="C5" s="35">
        <v>2690</v>
      </c>
      <c r="D5" s="35">
        <f t="shared" si="0"/>
        <v>1070</v>
      </c>
      <c r="E5" s="36">
        <f t="shared" si="1"/>
        <v>0.39776951672862454</v>
      </c>
      <c r="F5" s="37" t="str">
        <f t="shared" si="2"/>
        <v>Medium Discount</v>
      </c>
      <c r="G5" s="35">
        <v>1</v>
      </c>
      <c r="H5" s="38">
        <v>5</v>
      </c>
      <c r="I5" s="37" t="s">
        <v>52</v>
      </c>
      <c r="J5" s="37" t="str">
        <f t="shared" si="3"/>
        <v>Excellent</v>
      </c>
      <c r="K5" s="89" t="str">
        <f t="shared" si="4"/>
        <v>Medium Discount</v>
      </c>
    </row>
    <row r="6" spans="1:11" ht="15" customHeight="1" x14ac:dyDescent="0.35">
      <c r="A6" s="86" t="s">
        <v>88</v>
      </c>
      <c r="B6" s="30">
        <v>171</v>
      </c>
      <c r="C6" s="30">
        <v>360</v>
      </c>
      <c r="D6" s="30">
        <f t="shared" si="0"/>
        <v>189</v>
      </c>
      <c r="E6" s="31">
        <f t="shared" si="1"/>
        <v>0.52500000000000002</v>
      </c>
      <c r="F6" s="32" t="str">
        <f t="shared" si="2"/>
        <v>High Discount</v>
      </c>
      <c r="G6" s="30">
        <v>2</v>
      </c>
      <c r="H6" s="33">
        <v>5</v>
      </c>
      <c r="I6" s="32" t="s">
        <v>52</v>
      </c>
      <c r="J6" s="32" t="str">
        <f t="shared" si="3"/>
        <v>Excellent</v>
      </c>
      <c r="K6" s="88" t="str">
        <f t="shared" si="4"/>
        <v>High Discount</v>
      </c>
    </row>
    <row r="7" spans="1:11" ht="23.9" customHeight="1" x14ac:dyDescent="0.35">
      <c r="A7" s="86" t="s">
        <v>130</v>
      </c>
      <c r="B7" s="30">
        <v>979</v>
      </c>
      <c r="C7" s="30">
        <v>1920</v>
      </c>
      <c r="D7" s="30">
        <f t="shared" si="0"/>
        <v>941</v>
      </c>
      <c r="E7" s="31">
        <f t="shared" si="1"/>
        <v>0.49010416666666667</v>
      </c>
      <c r="F7" s="32" t="str">
        <f t="shared" si="2"/>
        <v>High Discount</v>
      </c>
      <c r="G7" s="30">
        <v>1</v>
      </c>
      <c r="H7" s="33">
        <v>5</v>
      </c>
      <c r="I7" s="32" t="s">
        <v>52</v>
      </c>
      <c r="J7" s="32" t="str">
        <f t="shared" si="3"/>
        <v>Excellent</v>
      </c>
      <c r="K7" s="88" t="str">
        <f t="shared" si="4"/>
        <v>High Discount</v>
      </c>
    </row>
    <row r="8" spans="1:11" ht="26" x14ac:dyDescent="0.35">
      <c r="A8" s="86" t="s">
        <v>150</v>
      </c>
      <c r="B8" s="30">
        <v>3640</v>
      </c>
      <c r="C8" s="30">
        <v>4588</v>
      </c>
      <c r="D8" s="30">
        <f t="shared" si="0"/>
        <v>948</v>
      </c>
      <c r="E8" s="31">
        <f t="shared" si="1"/>
        <v>0.20662598081952921</v>
      </c>
      <c r="F8" s="32" t="str">
        <f t="shared" si="2"/>
        <v>Medium Discount</v>
      </c>
      <c r="G8" s="30">
        <v>1</v>
      </c>
      <c r="H8" s="33">
        <v>5</v>
      </c>
      <c r="I8" s="32" t="s">
        <v>52</v>
      </c>
      <c r="J8" s="32" t="str">
        <f t="shared" si="3"/>
        <v>Excellent</v>
      </c>
      <c r="K8" s="88" t="str">
        <f t="shared" si="4"/>
        <v>Medium Discount</v>
      </c>
    </row>
    <row r="9" spans="1:11" ht="15" customHeight="1" x14ac:dyDescent="0.35">
      <c r="A9" s="86" t="s">
        <v>56</v>
      </c>
      <c r="B9" s="30">
        <v>1740</v>
      </c>
      <c r="C9" s="30">
        <v>2356</v>
      </c>
      <c r="D9" s="30">
        <f t="shared" si="0"/>
        <v>616</v>
      </c>
      <c r="E9" s="31">
        <f t="shared" si="1"/>
        <v>0.26146010186757218</v>
      </c>
      <c r="F9" s="32" t="str">
        <f t="shared" si="2"/>
        <v>Medium Discount</v>
      </c>
      <c r="G9" s="30">
        <v>5</v>
      </c>
      <c r="H9" s="33">
        <v>4.8</v>
      </c>
      <c r="I9" s="32" t="s">
        <v>52</v>
      </c>
      <c r="J9" s="32" t="str">
        <f t="shared" si="3"/>
        <v>Excellent</v>
      </c>
      <c r="K9" s="88" t="str">
        <f t="shared" si="4"/>
        <v>Medium Discount</v>
      </c>
    </row>
    <row r="10" spans="1:11" ht="15" customHeight="1" x14ac:dyDescent="0.35">
      <c r="A10" s="86" t="s">
        <v>60</v>
      </c>
      <c r="B10" s="30">
        <v>1274</v>
      </c>
      <c r="C10" s="30">
        <v>2800</v>
      </c>
      <c r="D10" s="30">
        <f t="shared" si="0"/>
        <v>1526</v>
      </c>
      <c r="E10" s="31">
        <f t="shared" si="1"/>
        <v>0.54500000000000004</v>
      </c>
      <c r="F10" s="32" t="str">
        <f t="shared" si="2"/>
        <v>High Discount</v>
      </c>
      <c r="G10" s="30">
        <v>5</v>
      </c>
      <c r="H10" s="33">
        <v>4.8</v>
      </c>
      <c r="I10" s="32" t="s">
        <v>52</v>
      </c>
      <c r="J10" s="32" t="str">
        <f t="shared" si="3"/>
        <v>Excellent</v>
      </c>
      <c r="K10" s="88" t="str">
        <f t="shared" si="4"/>
        <v>High Discount</v>
      </c>
    </row>
    <row r="11" spans="1:11" ht="15" customHeight="1" x14ac:dyDescent="0.35">
      <c r="A11" s="86" t="s">
        <v>64</v>
      </c>
      <c r="B11" s="30">
        <v>552</v>
      </c>
      <c r="C11" s="30">
        <v>1035</v>
      </c>
      <c r="D11" s="30">
        <f t="shared" si="0"/>
        <v>483</v>
      </c>
      <c r="E11" s="31">
        <f t="shared" si="1"/>
        <v>0.46666666666666667</v>
      </c>
      <c r="F11" s="32" t="str">
        <f t="shared" si="2"/>
        <v>High Discount</v>
      </c>
      <c r="G11" s="30">
        <v>12</v>
      </c>
      <c r="H11" s="33">
        <v>4.8</v>
      </c>
      <c r="I11" s="32" t="s">
        <v>52</v>
      </c>
      <c r="J11" s="32" t="str">
        <f t="shared" si="3"/>
        <v>Excellent</v>
      </c>
      <c r="K11" s="88" t="str">
        <f t="shared" si="4"/>
        <v>High Discount</v>
      </c>
    </row>
    <row r="12" spans="1:11" ht="23.9" customHeight="1" x14ac:dyDescent="0.35">
      <c r="A12" s="87" t="s">
        <v>55</v>
      </c>
      <c r="B12" s="35">
        <v>1580</v>
      </c>
      <c r="C12" s="35">
        <v>2499</v>
      </c>
      <c r="D12" s="35">
        <f t="shared" si="0"/>
        <v>919</v>
      </c>
      <c r="E12" s="36">
        <f t="shared" si="1"/>
        <v>0.36774709883953582</v>
      </c>
      <c r="F12" s="37" t="str">
        <f t="shared" si="2"/>
        <v>Medium Discount</v>
      </c>
      <c r="G12" s="35">
        <v>7</v>
      </c>
      <c r="H12" s="38">
        <v>4.7</v>
      </c>
      <c r="I12" s="37" t="s">
        <v>52</v>
      </c>
      <c r="J12" s="37" t="str">
        <f t="shared" si="3"/>
        <v>Excellent</v>
      </c>
      <c r="K12" s="89" t="str">
        <f t="shared" si="4"/>
        <v>Medium Discount</v>
      </c>
    </row>
    <row r="13" spans="1:11" ht="15" customHeight="1" x14ac:dyDescent="0.35">
      <c r="A13" s="87" t="s">
        <v>63</v>
      </c>
      <c r="B13" s="35">
        <v>990</v>
      </c>
      <c r="C13" s="35">
        <v>1500</v>
      </c>
      <c r="D13" s="35">
        <f t="shared" si="0"/>
        <v>510</v>
      </c>
      <c r="E13" s="36">
        <f t="shared" si="1"/>
        <v>0.34</v>
      </c>
      <c r="F13" s="37" t="str">
        <f t="shared" si="2"/>
        <v>Medium Discount</v>
      </c>
      <c r="G13" s="35">
        <v>39</v>
      </c>
      <c r="H13" s="38">
        <v>4.7</v>
      </c>
      <c r="I13" s="37" t="s">
        <v>52</v>
      </c>
      <c r="J13" s="37" t="str">
        <f t="shared" si="3"/>
        <v>Excellent</v>
      </c>
      <c r="K13" s="89" t="str">
        <f t="shared" si="4"/>
        <v>Medium Discount</v>
      </c>
    </row>
    <row r="14" spans="1:11" ht="15" customHeight="1" x14ac:dyDescent="0.35">
      <c r="A14" s="87" t="s">
        <v>83</v>
      </c>
      <c r="B14" s="35">
        <v>980</v>
      </c>
      <c r="C14" s="35">
        <v>1490</v>
      </c>
      <c r="D14" s="35">
        <f t="shared" si="0"/>
        <v>510</v>
      </c>
      <c r="E14" s="36">
        <f t="shared" si="1"/>
        <v>0.34228187919463088</v>
      </c>
      <c r="F14" s="37" t="str">
        <f t="shared" si="2"/>
        <v>Medium Discount</v>
      </c>
      <c r="G14" s="35">
        <v>12</v>
      </c>
      <c r="H14" s="38">
        <v>4.7</v>
      </c>
      <c r="I14" s="37" t="s">
        <v>52</v>
      </c>
      <c r="J14" s="37" t="str">
        <f t="shared" si="3"/>
        <v>Excellent</v>
      </c>
      <c r="K14" s="89" t="str">
        <f t="shared" si="4"/>
        <v>Medium Discount</v>
      </c>
    </row>
    <row r="15" spans="1:11" ht="15" customHeight="1" x14ac:dyDescent="0.35">
      <c r="A15" s="87" t="s">
        <v>85</v>
      </c>
      <c r="B15" s="35">
        <v>1940</v>
      </c>
      <c r="C15" s="35">
        <v>2650</v>
      </c>
      <c r="D15" s="35">
        <f t="shared" si="0"/>
        <v>710</v>
      </c>
      <c r="E15" s="36">
        <f t="shared" si="1"/>
        <v>0.26792452830188679</v>
      </c>
      <c r="F15" s="37" t="str">
        <f t="shared" si="2"/>
        <v>Medium Discount</v>
      </c>
      <c r="G15" s="35">
        <v>20</v>
      </c>
      <c r="H15" s="38">
        <v>4.7</v>
      </c>
      <c r="I15" s="37" t="s">
        <v>52</v>
      </c>
      <c r="J15" s="37" t="str">
        <f t="shared" si="3"/>
        <v>Excellent</v>
      </c>
      <c r="K15" s="89" t="str">
        <f t="shared" si="4"/>
        <v>Medium Discount</v>
      </c>
    </row>
    <row r="16" spans="1:11" ht="15" customHeight="1" x14ac:dyDescent="0.35">
      <c r="A16" s="86" t="s">
        <v>54</v>
      </c>
      <c r="B16" s="30">
        <v>2199</v>
      </c>
      <c r="C16" s="30">
        <v>2923</v>
      </c>
      <c r="D16" s="30">
        <f t="shared" si="0"/>
        <v>724</v>
      </c>
      <c r="E16" s="31">
        <f t="shared" si="1"/>
        <v>0.24769072870338693</v>
      </c>
      <c r="F16" s="32" t="str">
        <f t="shared" si="2"/>
        <v>Medium Discount</v>
      </c>
      <c r="G16" s="30">
        <v>24</v>
      </c>
      <c r="H16" s="33">
        <v>4.5999999999999996</v>
      </c>
      <c r="I16" s="32" t="s">
        <v>52</v>
      </c>
      <c r="J16" s="32" t="str">
        <f t="shared" si="3"/>
        <v>Excellent</v>
      </c>
      <c r="K16" s="88" t="str">
        <f t="shared" si="4"/>
        <v>Medium Discount</v>
      </c>
    </row>
    <row r="17" spans="1:11" ht="15" customHeight="1" x14ac:dyDescent="0.35">
      <c r="A17" s="86" t="s">
        <v>58</v>
      </c>
      <c r="B17" s="30">
        <v>2319</v>
      </c>
      <c r="C17" s="30">
        <v>3032</v>
      </c>
      <c r="D17" s="30">
        <f t="shared" si="0"/>
        <v>713</v>
      </c>
      <c r="E17" s="31">
        <f t="shared" si="1"/>
        <v>0.23515831134564644</v>
      </c>
      <c r="F17" s="32" t="str">
        <f t="shared" si="2"/>
        <v>Medium Discount</v>
      </c>
      <c r="G17" s="30">
        <v>55</v>
      </c>
      <c r="H17" s="33">
        <v>4.5999999999999996</v>
      </c>
      <c r="I17" s="32" t="s">
        <v>52</v>
      </c>
      <c r="J17" s="32" t="str">
        <f t="shared" si="3"/>
        <v>Excellent</v>
      </c>
      <c r="K17" s="88" t="str">
        <f t="shared" si="4"/>
        <v>Medium Discount</v>
      </c>
    </row>
    <row r="18" spans="1:11" ht="15" customHeight="1" x14ac:dyDescent="0.35">
      <c r="A18" s="86" t="s">
        <v>70</v>
      </c>
      <c r="B18" s="30">
        <v>2999</v>
      </c>
      <c r="C18" s="30">
        <v>3699</v>
      </c>
      <c r="D18" s="30">
        <f t="shared" si="0"/>
        <v>700</v>
      </c>
      <c r="E18" s="31">
        <f t="shared" si="1"/>
        <v>0.18924033522573669</v>
      </c>
      <c r="F18" s="32" t="str">
        <f t="shared" si="2"/>
        <v>Low Discount</v>
      </c>
      <c r="G18" s="30">
        <v>5</v>
      </c>
      <c r="H18" s="33">
        <v>4.5999999999999996</v>
      </c>
      <c r="I18" s="32" t="s">
        <v>52</v>
      </c>
      <c r="J18" s="32" t="str">
        <f t="shared" si="3"/>
        <v>Excellent</v>
      </c>
      <c r="K18" s="88" t="str">
        <f t="shared" si="4"/>
        <v>Low Discount</v>
      </c>
    </row>
    <row r="19" spans="1:11" ht="15" customHeight="1" x14ac:dyDescent="0.35">
      <c r="A19" s="87" t="s">
        <v>71</v>
      </c>
      <c r="B19" s="35">
        <v>998</v>
      </c>
      <c r="C19" s="35">
        <v>1966</v>
      </c>
      <c r="D19" s="35">
        <f t="shared" si="0"/>
        <v>968</v>
      </c>
      <c r="E19" s="36">
        <f t="shared" si="1"/>
        <v>0.49237029501525942</v>
      </c>
      <c r="F19" s="37" t="str">
        <f t="shared" si="2"/>
        <v>High Discount</v>
      </c>
      <c r="G19" s="35">
        <v>44</v>
      </c>
      <c r="H19" s="38">
        <v>4.5999999999999996</v>
      </c>
      <c r="I19" s="37" t="s">
        <v>52</v>
      </c>
      <c r="J19" s="37" t="str">
        <f t="shared" si="3"/>
        <v>Excellent</v>
      </c>
      <c r="K19" s="89" t="str">
        <f t="shared" si="4"/>
        <v>High Discount</v>
      </c>
    </row>
    <row r="20" spans="1:11" ht="15" customHeight="1" x14ac:dyDescent="0.35">
      <c r="A20" s="87" t="s">
        <v>77</v>
      </c>
      <c r="B20" s="35">
        <v>420</v>
      </c>
      <c r="C20" s="35">
        <v>647</v>
      </c>
      <c r="D20" s="35">
        <f t="shared" si="0"/>
        <v>227</v>
      </c>
      <c r="E20" s="36">
        <f t="shared" si="1"/>
        <v>0.3508500772797527</v>
      </c>
      <c r="F20" s="37" t="str">
        <f t="shared" si="2"/>
        <v>Medium Discount</v>
      </c>
      <c r="G20" s="35">
        <v>49</v>
      </c>
      <c r="H20" s="38">
        <v>4.5999999999999996</v>
      </c>
      <c r="I20" s="37" t="s">
        <v>52</v>
      </c>
      <c r="J20" s="37" t="str">
        <f t="shared" si="3"/>
        <v>Excellent</v>
      </c>
      <c r="K20" s="89" t="str">
        <f t="shared" si="4"/>
        <v>Medium Discount</v>
      </c>
    </row>
    <row r="21" spans="1:11" ht="15" customHeight="1" x14ac:dyDescent="0.35">
      <c r="A21" s="86" t="s">
        <v>51</v>
      </c>
      <c r="B21" s="30">
        <v>950</v>
      </c>
      <c r="C21" s="30">
        <v>1525</v>
      </c>
      <c r="D21" s="30">
        <f t="shared" si="0"/>
        <v>575</v>
      </c>
      <c r="E21" s="31">
        <f t="shared" si="1"/>
        <v>0.37704918032786883</v>
      </c>
      <c r="F21" s="32" t="str">
        <f t="shared" si="2"/>
        <v>Medium Discount</v>
      </c>
      <c r="G21" s="30">
        <v>2</v>
      </c>
      <c r="H21" s="33">
        <v>4.5</v>
      </c>
      <c r="I21" s="32" t="s">
        <v>52</v>
      </c>
      <c r="J21" s="32" t="str">
        <f t="shared" si="3"/>
        <v>Excellent</v>
      </c>
      <c r="K21" s="88" t="str">
        <f t="shared" si="4"/>
        <v>Medium Discount</v>
      </c>
    </row>
    <row r="22" spans="1:11" ht="15" customHeight="1" x14ac:dyDescent="0.35">
      <c r="A22" s="87" t="s">
        <v>65</v>
      </c>
      <c r="B22" s="35">
        <v>501</v>
      </c>
      <c r="C22" s="35">
        <v>860</v>
      </c>
      <c r="D22" s="35">
        <f t="shared" si="0"/>
        <v>359</v>
      </c>
      <c r="E22" s="36">
        <f t="shared" si="1"/>
        <v>0.41744186046511628</v>
      </c>
      <c r="F22" s="37" t="str">
        <f t="shared" si="2"/>
        <v>High Discount</v>
      </c>
      <c r="G22" s="35">
        <v>6</v>
      </c>
      <c r="H22" s="38">
        <v>4.5</v>
      </c>
      <c r="I22" s="37" t="s">
        <v>52</v>
      </c>
      <c r="J22" s="37" t="str">
        <f t="shared" si="3"/>
        <v>Excellent</v>
      </c>
      <c r="K22" s="89" t="str">
        <f t="shared" si="4"/>
        <v>High Discount</v>
      </c>
    </row>
    <row r="23" spans="1:11" ht="23.9" customHeight="1" x14ac:dyDescent="0.35">
      <c r="A23" s="86" t="s">
        <v>86</v>
      </c>
      <c r="B23" s="30">
        <v>1980</v>
      </c>
      <c r="C23" s="30">
        <v>2699</v>
      </c>
      <c r="D23" s="30">
        <f t="shared" si="0"/>
        <v>719</v>
      </c>
      <c r="E23" s="31">
        <f t="shared" si="1"/>
        <v>0.26639496109670247</v>
      </c>
      <c r="F23" s="32" t="str">
        <f t="shared" si="2"/>
        <v>Medium Discount</v>
      </c>
      <c r="G23" s="30">
        <v>32</v>
      </c>
      <c r="H23" s="33">
        <v>4.5</v>
      </c>
      <c r="I23" s="32" t="s">
        <v>52</v>
      </c>
      <c r="J23" s="32" t="str">
        <f t="shared" si="3"/>
        <v>Excellent</v>
      </c>
      <c r="K23" s="88" t="str">
        <f t="shared" si="4"/>
        <v>Medium Discount</v>
      </c>
    </row>
    <row r="24" spans="1:11" ht="23.9" customHeight="1" x14ac:dyDescent="0.35">
      <c r="A24" s="87" t="s">
        <v>75</v>
      </c>
      <c r="B24" s="35">
        <v>1650</v>
      </c>
      <c r="C24" s="35">
        <v>2150</v>
      </c>
      <c r="D24" s="35">
        <f t="shared" si="0"/>
        <v>500</v>
      </c>
      <c r="E24" s="36">
        <f t="shared" si="1"/>
        <v>0.23255813953488372</v>
      </c>
      <c r="F24" s="37" t="str">
        <f t="shared" si="2"/>
        <v>Medium Discount</v>
      </c>
      <c r="G24" s="35">
        <v>14</v>
      </c>
      <c r="H24" s="38">
        <v>4.4000000000000004</v>
      </c>
      <c r="I24" s="37" t="s">
        <v>12</v>
      </c>
      <c r="J24" s="37" t="str">
        <f t="shared" si="3"/>
        <v>Average</v>
      </c>
      <c r="K24" s="89" t="str">
        <f t="shared" si="4"/>
        <v>Medium Discount</v>
      </c>
    </row>
    <row r="25" spans="1:11" ht="15" customHeight="1" x14ac:dyDescent="0.35">
      <c r="A25" s="86" t="s">
        <v>76</v>
      </c>
      <c r="B25" s="30">
        <v>2048</v>
      </c>
      <c r="C25" s="30">
        <v>4500</v>
      </c>
      <c r="D25" s="30">
        <f t="shared" si="0"/>
        <v>2452</v>
      </c>
      <c r="E25" s="31">
        <f t="shared" si="1"/>
        <v>0.54488888888888887</v>
      </c>
      <c r="F25" s="32" t="str">
        <f t="shared" si="2"/>
        <v>High Discount</v>
      </c>
      <c r="G25" s="30">
        <v>7</v>
      </c>
      <c r="H25" s="33">
        <v>4.3</v>
      </c>
      <c r="I25" s="32" t="s">
        <v>12</v>
      </c>
      <c r="J25" s="32" t="str">
        <f t="shared" si="3"/>
        <v>Average</v>
      </c>
      <c r="K25" s="88" t="str">
        <f t="shared" si="4"/>
        <v>High Discount</v>
      </c>
    </row>
    <row r="26" spans="1:11" ht="15" customHeight="1" x14ac:dyDescent="0.35">
      <c r="A26" s="86" t="s">
        <v>82</v>
      </c>
      <c r="B26" s="30">
        <v>185</v>
      </c>
      <c r="C26" s="30">
        <v>382</v>
      </c>
      <c r="D26" s="30">
        <f t="shared" si="0"/>
        <v>197</v>
      </c>
      <c r="E26" s="31">
        <f t="shared" si="1"/>
        <v>0.51570680628272247</v>
      </c>
      <c r="F26" s="32" t="str">
        <f t="shared" si="2"/>
        <v>High Discount</v>
      </c>
      <c r="G26" s="30">
        <v>9</v>
      </c>
      <c r="H26" s="33">
        <v>4.3</v>
      </c>
      <c r="I26" s="32" t="s">
        <v>12</v>
      </c>
      <c r="J26" s="32" t="str">
        <f t="shared" si="3"/>
        <v>Average</v>
      </c>
      <c r="K26" s="88" t="str">
        <f t="shared" si="4"/>
        <v>High Discount</v>
      </c>
    </row>
    <row r="27" spans="1:11" ht="26" x14ac:dyDescent="0.35">
      <c r="A27" s="86" t="s">
        <v>84</v>
      </c>
      <c r="B27" s="30">
        <v>1820</v>
      </c>
      <c r="C27" s="30">
        <v>3490</v>
      </c>
      <c r="D27" s="30">
        <f t="shared" si="0"/>
        <v>1670</v>
      </c>
      <c r="E27" s="31">
        <f t="shared" si="1"/>
        <v>0.47851002865329512</v>
      </c>
      <c r="F27" s="32" t="str">
        <f t="shared" si="2"/>
        <v>High Discount</v>
      </c>
      <c r="G27" s="30">
        <v>9</v>
      </c>
      <c r="H27" s="33">
        <v>4.3</v>
      </c>
      <c r="I27" s="32" t="s">
        <v>12</v>
      </c>
      <c r="J27" s="32" t="str">
        <f t="shared" si="3"/>
        <v>Average</v>
      </c>
      <c r="K27" s="88" t="str">
        <f t="shared" si="4"/>
        <v>High Discount</v>
      </c>
    </row>
    <row r="28" spans="1:11" ht="23.9" customHeight="1" x14ac:dyDescent="0.35">
      <c r="A28" s="87" t="s">
        <v>89</v>
      </c>
      <c r="B28" s="35">
        <v>389</v>
      </c>
      <c r="C28" s="35">
        <v>656</v>
      </c>
      <c r="D28" s="35">
        <f t="shared" si="0"/>
        <v>267</v>
      </c>
      <c r="E28" s="36">
        <f t="shared" si="1"/>
        <v>0.40701219512195119</v>
      </c>
      <c r="F28" s="37" t="str">
        <f t="shared" si="2"/>
        <v>High Discount</v>
      </c>
      <c r="G28" s="35">
        <v>36</v>
      </c>
      <c r="H28" s="38">
        <v>4.3</v>
      </c>
      <c r="I28" s="37" t="s">
        <v>12</v>
      </c>
      <c r="J28" s="37" t="str">
        <f t="shared" si="3"/>
        <v>Average</v>
      </c>
      <c r="K28" s="89" t="str">
        <f t="shared" si="4"/>
        <v>High Discount</v>
      </c>
    </row>
    <row r="29" spans="1:11" ht="15" customHeight="1" x14ac:dyDescent="0.35">
      <c r="A29" s="86" t="s">
        <v>66</v>
      </c>
      <c r="B29" s="30">
        <v>1680</v>
      </c>
      <c r="C29" s="30">
        <v>2499</v>
      </c>
      <c r="D29" s="30">
        <f t="shared" si="0"/>
        <v>819</v>
      </c>
      <c r="E29" s="31">
        <f t="shared" si="1"/>
        <v>0.32773109243697479</v>
      </c>
      <c r="F29" s="32" t="str">
        <f t="shared" si="2"/>
        <v>Medium Discount</v>
      </c>
      <c r="G29" s="30">
        <v>9</v>
      </c>
      <c r="H29" s="33">
        <v>4.2</v>
      </c>
      <c r="I29" s="32" t="s">
        <v>12</v>
      </c>
      <c r="J29" s="32" t="str">
        <f t="shared" si="3"/>
        <v>Average</v>
      </c>
      <c r="K29" s="88" t="str">
        <f t="shared" si="4"/>
        <v>Medium Discount</v>
      </c>
    </row>
    <row r="30" spans="1:11" ht="26" x14ac:dyDescent="0.35">
      <c r="A30" s="87" t="s">
        <v>53</v>
      </c>
      <c r="B30" s="35">
        <v>527</v>
      </c>
      <c r="C30" s="35">
        <v>999</v>
      </c>
      <c r="D30" s="35">
        <f t="shared" si="0"/>
        <v>472</v>
      </c>
      <c r="E30" s="36">
        <f t="shared" si="1"/>
        <v>0.47247247247247248</v>
      </c>
      <c r="F30" s="37" t="str">
        <f t="shared" si="2"/>
        <v>High Discount</v>
      </c>
      <c r="G30" s="35">
        <v>14</v>
      </c>
      <c r="H30" s="38">
        <v>4.0999999999999996</v>
      </c>
      <c r="I30" s="37" t="s">
        <v>12</v>
      </c>
      <c r="J30" s="37" t="str">
        <f t="shared" si="3"/>
        <v>Average</v>
      </c>
      <c r="K30" s="89" t="str">
        <f t="shared" si="4"/>
        <v>High Discount</v>
      </c>
    </row>
    <row r="31" spans="1:11" ht="26" x14ac:dyDescent="0.35">
      <c r="A31" s="86" t="s">
        <v>62</v>
      </c>
      <c r="B31" s="30">
        <v>799</v>
      </c>
      <c r="C31" s="30">
        <v>999</v>
      </c>
      <c r="D31" s="30">
        <f t="shared" si="0"/>
        <v>200</v>
      </c>
      <c r="E31" s="31">
        <f t="shared" si="1"/>
        <v>0.20020020020020021</v>
      </c>
      <c r="F31" s="32" t="str">
        <f t="shared" si="2"/>
        <v>Medium Discount</v>
      </c>
      <c r="G31" s="30">
        <v>12</v>
      </c>
      <c r="H31" s="33">
        <v>4.0999999999999996</v>
      </c>
      <c r="I31" s="32" t="s">
        <v>12</v>
      </c>
      <c r="J31" s="32" t="str">
        <f t="shared" si="3"/>
        <v>Average</v>
      </c>
      <c r="K31" s="88" t="str">
        <f t="shared" si="4"/>
        <v>Medium Discount</v>
      </c>
    </row>
    <row r="32" spans="1:11" ht="15" customHeight="1" x14ac:dyDescent="0.35">
      <c r="A32" s="86" t="s">
        <v>80</v>
      </c>
      <c r="B32" s="30">
        <v>1758</v>
      </c>
      <c r="C32" s="30">
        <v>2499</v>
      </c>
      <c r="D32" s="30">
        <f t="shared" si="0"/>
        <v>741</v>
      </c>
      <c r="E32" s="31">
        <f t="shared" si="1"/>
        <v>0.2965186074429772</v>
      </c>
      <c r="F32" s="32" t="str">
        <f t="shared" si="2"/>
        <v>Medium Discount</v>
      </c>
      <c r="G32" s="30">
        <v>20</v>
      </c>
      <c r="H32" s="33">
        <v>4.0999999999999996</v>
      </c>
      <c r="I32" s="32" t="s">
        <v>12</v>
      </c>
      <c r="J32" s="32" t="str">
        <f t="shared" si="3"/>
        <v>Average</v>
      </c>
      <c r="K32" s="88" t="str">
        <f t="shared" si="4"/>
        <v>Medium Discount</v>
      </c>
    </row>
    <row r="33" spans="1:11" ht="26" x14ac:dyDescent="0.35">
      <c r="A33" s="87" t="s">
        <v>57</v>
      </c>
      <c r="B33" s="35">
        <v>2999</v>
      </c>
      <c r="C33" s="35">
        <v>3290</v>
      </c>
      <c r="D33" s="35">
        <f t="shared" si="0"/>
        <v>291</v>
      </c>
      <c r="E33" s="36">
        <f t="shared" si="1"/>
        <v>8.8449848024316116E-2</v>
      </c>
      <c r="F33" s="37" t="str">
        <f t="shared" si="2"/>
        <v>Low Discount</v>
      </c>
      <c r="G33" s="35">
        <v>15</v>
      </c>
      <c r="H33" s="38">
        <v>4</v>
      </c>
      <c r="I33" s="37" t="s">
        <v>12</v>
      </c>
      <c r="J33" s="37" t="str">
        <f t="shared" si="3"/>
        <v>Average</v>
      </c>
      <c r="K33" s="89" t="str">
        <f t="shared" si="4"/>
        <v>Low Discount</v>
      </c>
    </row>
    <row r="34" spans="1:11" ht="23.9" customHeight="1" x14ac:dyDescent="0.35">
      <c r="A34" s="87" t="s">
        <v>59</v>
      </c>
      <c r="B34" s="35">
        <v>988</v>
      </c>
      <c r="C34" s="35">
        <v>1580</v>
      </c>
      <c r="D34" s="35">
        <f t="shared" ref="D34:D65" si="5">C34-B34</f>
        <v>592</v>
      </c>
      <c r="E34" s="36">
        <f t="shared" ref="E34:E65" si="6">IF(C34&gt;0,(C34-B34)/C34,0)</f>
        <v>0.37468354430379747</v>
      </c>
      <c r="F34" s="37" t="str">
        <f t="shared" ref="F34:F65" si="7">IF(E34="","N/A",IF(E34&lt;0.2,"Low Discount",IF(E34&lt;=0.4,"Medium Discount","High Discount")))</f>
        <v>Medium Discount</v>
      </c>
      <c r="G34" s="35">
        <v>2</v>
      </c>
      <c r="H34" s="38">
        <v>4</v>
      </c>
      <c r="I34" s="37" t="s">
        <v>12</v>
      </c>
      <c r="J34" s="37" t="str">
        <f t="shared" ref="J34:J65" si="8">IF(H34="","N/A",IF(H34&lt;3,"Poor",IF(H34&lt;4.5,"Average","Excellent")))</f>
        <v>Average</v>
      </c>
      <c r="K34" s="89" t="str">
        <f t="shared" ref="K34:K65" si="9">F34</f>
        <v>Medium Discount</v>
      </c>
    </row>
    <row r="35" spans="1:11" ht="26" x14ac:dyDescent="0.35">
      <c r="A35" s="86" t="s">
        <v>74</v>
      </c>
      <c r="B35" s="30">
        <v>880</v>
      </c>
      <c r="C35" s="30">
        <v>1350</v>
      </c>
      <c r="D35" s="30">
        <f t="shared" si="5"/>
        <v>470</v>
      </c>
      <c r="E35" s="31">
        <f t="shared" si="6"/>
        <v>0.34814814814814815</v>
      </c>
      <c r="F35" s="32" t="str">
        <f t="shared" si="7"/>
        <v>Medium Discount</v>
      </c>
      <c r="G35" s="30">
        <v>6</v>
      </c>
      <c r="H35" s="33">
        <v>4</v>
      </c>
      <c r="I35" s="32" t="s">
        <v>12</v>
      </c>
      <c r="J35" s="32" t="str">
        <f t="shared" si="8"/>
        <v>Average</v>
      </c>
      <c r="K35" s="88" t="str">
        <f t="shared" si="9"/>
        <v>Medium Discount</v>
      </c>
    </row>
    <row r="36" spans="1:11" ht="15" customHeight="1" x14ac:dyDescent="0.35">
      <c r="A36" s="87" t="s">
        <v>133</v>
      </c>
      <c r="B36" s="35">
        <v>330</v>
      </c>
      <c r="C36" s="35">
        <v>647</v>
      </c>
      <c r="D36" s="35">
        <f t="shared" si="5"/>
        <v>317</v>
      </c>
      <c r="E36" s="36">
        <f t="shared" si="6"/>
        <v>0.48995363214837712</v>
      </c>
      <c r="F36" s="37" t="str">
        <f t="shared" si="7"/>
        <v>High Discount</v>
      </c>
      <c r="G36" s="35">
        <v>1</v>
      </c>
      <c r="H36" s="38">
        <v>4</v>
      </c>
      <c r="I36" s="37" t="s">
        <v>12</v>
      </c>
      <c r="J36" s="37" t="str">
        <f t="shared" si="8"/>
        <v>Average</v>
      </c>
      <c r="K36" s="89" t="str">
        <f t="shared" si="9"/>
        <v>High Discount</v>
      </c>
    </row>
    <row r="37" spans="1:11" ht="23.9" customHeight="1" x14ac:dyDescent="0.35">
      <c r="A37" s="87" t="s">
        <v>61</v>
      </c>
      <c r="B37" s="35">
        <v>1600</v>
      </c>
      <c r="C37" s="35">
        <v>2929</v>
      </c>
      <c r="D37" s="35">
        <f t="shared" si="5"/>
        <v>1329</v>
      </c>
      <c r="E37" s="36">
        <f t="shared" si="6"/>
        <v>0.45373847729600547</v>
      </c>
      <c r="F37" s="37" t="str">
        <f t="shared" si="7"/>
        <v>High Discount</v>
      </c>
      <c r="G37" s="35">
        <v>5</v>
      </c>
      <c r="H37" s="38">
        <v>3.8</v>
      </c>
      <c r="I37" s="37" t="s">
        <v>12</v>
      </c>
      <c r="J37" s="37" t="str">
        <f t="shared" si="8"/>
        <v>Average</v>
      </c>
      <c r="K37" s="89" t="str">
        <f t="shared" si="9"/>
        <v>High Discount</v>
      </c>
    </row>
    <row r="38" spans="1:11" ht="26" x14ac:dyDescent="0.35">
      <c r="A38" s="86" t="s">
        <v>78</v>
      </c>
      <c r="B38" s="30">
        <v>2880</v>
      </c>
      <c r="C38" s="30">
        <v>3520</v>
      </c>
      <c r="D38" s="30">
        <f t="shared" si="5"/>
        <v>640</v>
      </c>
      <c r="E38" s="31">
        <f t="shared" si="6"/>
        <v>0.18181818181818182</v>
      </c>
      <c r="F38" s="32" t="str">
        <f t="shared" si="7"/>
        <v>Low Discount</v>
      </c>
      <c r="G38" s="30">
        <v>12</v>
      </c>
      <c r="H38" s="33">
        <v>3.8</v>
      </c>
      <c r="I38" s="32" t="s">
        <v>12</v>
      </c>
      <c r="J38" s="32" t="str">
        <f t="shared" si="8"/>
        <v>Average</v>
      </c>
      <c r="K38" s="88" t="str">
        <f t="shared" si="9"/>
        <v>Low Discount</v>
      </c>
    </row>
    <row r="39" spans="1:11" ht="23.9" customHeight="1" x14ac:dyDescent="0.35">
      <c r="A39" s="87" t="s">
        <v>79</v>
      </c>
      <c r="B39" s="35">
        <v>1350</v>
      </c>
      <c r="C39" s="35">
        <v>1990</v>
      </c>
      <c r="D39" s="35">
        <f t="shared" si="5"/>
        <v>640</v>
      </c>
      <c r="E39" s="36">
        <f t="shared" si="6"/>
        <v>0.32160804020100503</v>
      </c>
      <c r="F39" s="37" t="str">
        <f t="shared" si="7"/>
        <v>Medium Discount</v>
      </c>
      <c r="G39" s="35">
        <v>13</v>
      </c>
      <c r="H39" s="38">
        <v>3.8</v>
      </c>
      <c r="I39" s="37" t="s">
        <v>12</v>
      </c>
      <c r="J39" s="37" t="str">
        <f t="shared" si="8"/>
        <v>Average</v>
      </c>
      <c r="K39" s="89" t="str">
        <f t="shared" si="9"/>
        <v>Medium Discount</v>
      </c>
    </row>
    <row r="40" spans="1:11" ht="19.75" customHeight="1" x14ac:dyDescent="0.35">
      <c r="A40" s="86" t="s">
        <v>72</v>
      </c>
      <c r="B40" s="30">
        <v>38</v>
      </c>
      <c r="C40" s="30">
        <v>80</v>
      </c>
      <c r="D40" s="30">
        <f t="shared" si="5"/>
        <v>42</v>
      </c>
      <c r="E40" s="31">
        <f t="shared" si="6"/>
        <v>0.52500000000000002</v>
      </c>
      <c r="F40" s="32" t="str">
        <f t="shared" si="7"/>
        <v>High Discount</v>
      </c>
      <c r="G40" s="30">
        <v>13</v>
      </c>
      <c r="H40" s="33">
        <v>3.3</v>
      </c>
      <c r="I40" s="32" t="s">
        <v>12</v>
      </c>
      <c r="J40" s="32" t="str">
        <f t="shared" si="8"/>
        <v>Average</v>
      </c>
      <c r="K40" s="88" t="str">
        <f t="shared" si="9"/>
        <v>High Discount</v>
      </c>
    </row>
    <row r="41" spans="1:11" ht="26.4" customHeight="1" x14ac:dyDescent="0.35">
      <c r="A41" s="87" t="s">
        <v>111</v>
      </c>
      <c r="B41" s="35">
        <v>458</v>
      </c>
      <c r="C41" s="35">
        <v>986</v>
      </c>
      <c r="D41" s="35">
        <f t="shared" si="5"/>
        <v>528</v>
      </c>
      <c r="E41" s="36">
        <f t="shared" si="6"/>
        <v>0.53549695740365111</v>
      </c>
      <c r="F41" s="37" t="str">
        <f t="shared" si="7"/>
        <v>High Discount</v>
      </c>
      <c r="G41" s="35">
        <v>10</v>
      </c>
      <c r="H41" s="38">
        <v>3</v>
      </c>
      <c r="I41" s="37" t="s">
        <v>12</v>
      </c>
      <c r="J41" s="37" t="str">
        <f t="shared" si="8"/>
        <v>Average</v>
      </c>
      <c r="K41" s="89" t="str">
        <f t="shared" si="9"/>
        <v>High Discount</v>
      </c>
    </row>
    <row r="42" spans="1:11" ht="26" x14ac:dyDescent="0.35">
      <c r="A42" s="86" t="s">
        <v>118</v>
      </c>
      <c r="B42" s="30">
        <v>3750</v>
      </c>
      <c r="C42" s="30">
        <v>6143</v>
      </c>
      <c r="D42" s="30">
        <f t="shared" si="5"/>
        <v>2393</v>
      </c>
      <c r="E42" s="31">
        <f t="shared" si="6"/>
        <v>0.38954908025394758</v>
      </c>
      <c r="F42" s="32" t="str">
        <f t="shared" si="7"/>
        <v>Medium Discount</v>
      </c>
      <c r="G42" s="30">
        <v>5</v>
      </c>
      <c r="H42" s="33">
        <v>3</v>
      </c>
      <c r="I42" s="32" t="s">
        <v>12</v>
      </c>
      <c r="J42" s="32" t="str">
        <f t="shared" si="8"/>
        <v>Average</v>
      </c>
      <c r="K42" s="88" t="str">
        <f t="shared" si="9"/>
        <v>Medium Discount</v>
      </c>
    </row>
    <row r="43" spans="1:11" ht="15" customHeight="1" x14ac:dyDescent="0.35">
      <c r="A43" s="86" t="s">
        <v>120</v>
      </c>
      <c r="B43" s="30">
        <v>2300</v>
      </c>
      <c r="C43" s="30">
        <v>3240</v>
      </c>
      <c r="D43" s="30">
        <f t="shared" si="5"/>
        <v>940</v>
      </c>
      <c r="E43" s="31">
        <f t="shared" si="6"/>
        <v>0.29012345679012347</v>
      </c>
      <c r="F43" s="32" t="str">
        <f t="shared" si="7"/>
        <v>Medium Discount</v>
      </c>
      <c r="G43" s="30">
        <v>5</v>
      </c>
      <c r="H43" s="33">
        <v>3</v>
      </c>
      <c r="I43" s="32" t="s">
        <v>12</v>
      </c>
      <c r="J43" s="32" t="str">
        <f t="shared" si="8"/>
        <v>Average</v>
      </c>
      <c r="K43" s="88" t="str">
        <f t="shared" si="9"/>
        <v>Medium Discount</v>
      </c>
    </row>
    <row r="44" spans="1:11" ht="26" x14ac:dyDescent="0.35">
      <c r="A44" s="86" t="s">
        <v>122</v>
      </c>
      <c r="B44" s="30">
        <v>509</v>
      </c>
      <c r="C44" s="30">
        <v>899</v>
      </c>
      <c r="D44" s="30">
        <f t="shared" si="5"/>
        <v>390</v>
      </c>
      <c r="E44" s="31">
        <f t="shared" si="6"/>
        <v>0.43381535038932145</v>
      </c>
      <c r="F44" s="32" t="str">
        <f t="shared" si="7"/>
        <v>High Discount</v>
      </c>
      <c r="G44" s="30">
        <v>5</v>
      </c>
      <c r="H44" s="33">
        <v>3</v>
      </c>
      <c r="I44" s="32" t="s">
        <v>12</v>
      </c>
      <c r="J44" s="32" t="str">
        <f t="shared" si="8"/>
        <v>Average</v>
      </c>
      <c r="K44" s="88" t="str">
        <f t="shared" si="9"/>
        <v>High Discount</v>
      </c>
    </row>
    <row r="45" spans="1:11" ht="15" customHeight="1" x14ac:dyDescent="0.35">
      <c r="A45" s="87" t="s">
        <v>129</v>
      </c>
      <c r="B45" s="35">
        <v>1189</v>
      </c>
      <c r="C45" s="35">
        <v>2199</v>
      </c>
      <c r="D45" s="35">
        <f t="shared" si="5"/>
        <v>1010</v>
      </c>
      <c r="E45" s="36">
        <f t="shared" si="6"/>
        <v>0.45929968167348795</v>
      </c>
      <c r="F45" s="37" t="str">
        <f t="shared" si="7"/>
        <v>High Discount</v>
      </c>
      <c r="G45" s="35">
        <v>1</v>
      </c>
      <c r="H45" s="38">
        <v>3</v>
      </c>
      <c r="I45" s="37" t="s">
        <v>12</v>
      </c>
      <c r="J45" s="37" t="str">
        <f t="shared" si="8"/>
        <v>Average</v>
      </c>
      <c r="K45" s="89" t="str">
        <f t="shared" si="9"/>
        <v>High Discount</v>
      </c>
    </row>
    <row r="46" spans="1:11" ht="26" x14ac:dyDescent="0.35">
      <c r="A46" s="87" t="s">
        <v>115</v>
      </c>
      <c r="B46" s="35">
        <v>1220</v>
      </c>
      <c r="C46" s="35">
        <v>1555</v>
      </c>
      <c r="D46" s="35">
        <f t="shared" si="5"/>
        <v>335</v>
      </c>
      <c r="E46" s="36">
        <f t="shared" si="6"/>
        <v>0.21543408360128619</v>
      </c>
      <c r="F46" s="37" t="str">
        <f t="shared" si="7"/>
        <v>Medium Discount</v>
      </c>
      <c r="G46" s="35">
        <v>16</v>
      </c>
      <c r="H46" s="38">
        <v>2.9</v>
      </c>
      <c r="I46" s="37" t="s">
        <v>110</v>
      </c>
      <c r="J46" s="37" t="str">
        <f t="shared" si="8"/>
        <v>Poor</v>
      </c>
      <c r="K46" s="89" t="str">
        <f t="shared" si="9"/>
        <v>Medium Discount</v>
      </c>
    </row>
    <row r="47" spans="1:11" ht="15" customHeight="1" x14ac:dyDescent="0.35">
      <c r="A47" s="87" t="s">
        <v>113</v>
      </c>
      <c r="B47" s="35">
        <v>445</v>
      </c>
      <c r="C47" s="35">
        <v>873</v>
      </c>
      <c r="D47" s="35">
        <f t="shared" si="5"/>
        <v>428</v>
      </c>
      <c r="E47" s="36">
        <f t="shared" si="6"/>
        <v>0.49026345933562426</v>
      </c>
      <c r="F47" s="37" t="str">
        <f t="shared" si="7"/>
        <v>High Discount</v>
      </c>
      <c r="G47" s="35">
        <v>69</v>
      </c>
      <c r="H47" s="38">
        <v>2.8</v>
      </c>
      <c r="I47" s="37" t="s">
        <v>110</v>
      </c>
      <c r="J47" s="37" t="str">
        <f t="shared" si="8"/>
        <v>Poor</v>
      </c>
      <c r="K47" s="89" t="str">
        <f t="shared" si="9"/>
        <v>High Discount</v>
      </c>
    </row>
    <row r="48" spans="1:11" ht="15" customHeight="1" x14ac:dyDescent="0.35">
      <c r="A48" s="86" t="s">
        <v>114</v>
      </c>
      <c r="B48" s="30">
        <v>325</v>
      </c>
      <c r="C48" s="30">
        <v>680</v>
      </c>
      <c r="D48" s="30">
        <f t="shared" si="5"/>
        <v>355</v>
      </c>
      <c r="E48" s="31">
        <f t="shared" si="6"/>
        <v>0.5220588235294118</v>
      </c>
      <c r="F48" s="32" t="str">
        <f t="shared" si="7"/>
        <v>High Discount</v>
      </c>
      <c r="G48" s="30">
        <v>15</v>
      </c>
      <c r="H48" s="33">
        <v>2.7</v>
      </c>
      <c r="I48" s="32" t="s">
        <v>110</v>
      </c>
      <c r="J48" s="32" t="str">
        <f t="shared" si="8"/>
        <v>Poor</v>
      </c>
      <c r="K48" s="88" t="str">
        <f t="shared" si="9"/>
        <v>High Discount</v>
      </c>
    </row>
    <row r="49" spans="1:11" ht="15" customHeight="1" x14ac:dyDescent="0.35">
      <c r="A49" s="87" t="s">
        <v>119</v>
      </c>
      <c r="B49" s="35">
        <v>382</v>
      </c>
      <c r="C49" s="35">
        <v>700</v>
      </c>
      <c r="D49" s="35">
        <f t="shared" si="5"/>
        <v>318</v>
      </c>
      <c r="E49" s="36">
        <f t="shared" si="6"/>
        <v>0.45428571428571429</v>
      </c>
      <c r="F49" s="37" t="str">
        <f t="shared" si="7"/>
        <v>High Discount</v>
      </c>
      <c r="G49" s="35">
        <v>17</v>
      </c>
      <c r="H49" s="38">
        <v>2.6</v>
      </c>
      <c r="I49" s="37" t="s">
        <v>110</v>
      </c>
      <c r="J49" s="37" t="str">
        <f t="shared" si="8"/>
        <v>Poor</v>
      </c>
      <c r="K49" s="89" t="str">
        <f t="shared" si="9"/>
        <v>High Discount</v>
      </c>
    </row>
    <row r="50" spans="1:11" ht="15" customHeight="1" x14ac:dyDescent="0.35">
      <c r="A50" s="86" t="s">
        <v>109</v>
      </c>
      <c r="B50" s="30">
        <v>2170</v>
      </c>
      <c r="C50" s="30">
        <v>2500</v>
      </c>
      <c r="D50" s="30">
        <f t="shared" si="5"/>
        <v>330</v>
      </c>
      <c r="E50" s="31">
        <f t="shared" si="6"/>
        <v>0.13200000000000001</v>
      </c>
      <c r="F50" s="32" t="str">
        <f t="shared" si="7"/>
        <v>Low Discount</v>
      </c>
      <c r="G50" s="30">
        <v>6</v>
      </c>
      <c r="H50" s="33">
        <v>2.5</v>
      </c>
      <c r="I50" s="32" t="s">
        <v>110</v>
      </c>
      <c r="J50" s="32" t="str">
        <f t="shared" si="8"/>
        <v>Poor</v>
      </c>
      <c r="K50" s="88" t="str">
        <f t="shared" si="9"/>
        <v>Low Discount</v>
      </c>
    </row>
    <row r="51" spans="1:11" ht="15" customHeight="1" x14ac:dyDescent="0.35">
      <c r="A51" s="87" t="s">
        <v>117</v>
      </c>
      <c r="B51" s="35">
        <v>1000</v>
      </c>
      <c r="C51" s="35">
        <v>2000</v>
      </c>
      <c r="D51" s="35">
        <f t="shared" si="5"/>
        <v>1000</v>
      </c>
      <c r="E51" s="36">
        <f t="shared" si="6"/>
        <v>0.5</v>
      </c>
      <c r="F51" s="37" t="str">
        <f t="shared" si="7"/>
        <v>High Discount</v>
      </c>
      <c r="G51" s="35">
        <v>7</v>
      </c>
      <c r="H51" s="38">
        <v>2.2999999999999998</v>
      </c>
      <c r="I51" s="37" t="s">
        <v>110</v>
      </c>
      <c r="J51" s="37" t="str">
        <f t="shared" si="8"/>
        <v>Poor</v>
      </c>
      <c r="K51" s="89" t="str">
        <f t="shared" si="9"/>
        <v>High Discount</v>
      </c>
    </row>
    <row r="52" spans="1:11" ht="15" customHeight="1" x14ac:dyDescent="0.35">
      <c r="A52" s="87" t="s">
        <v>121</v>
      </c>
      <c r="B52" s="35">
        <v>345</v>
      </c>
      <c r="C52" s="35">
        <v>602</v>
      </c>
      <c r="D52" s="35">
        <f t="shared" si="5"/>
        <v>257</v>
      </c>
      <c r="E52" s="36">
        <f t="shared" si="6"/>
        <v>0.42691029900332228</v>
      </c>
      <c r="F52" s="37" t="str">
        <f t="shared" si="7"/>
        <v>High Discount</v>
      </c>
      <c r="G52" s="35">
        <v>6</v>
      </c>
      <c r="H52" s="38">
        <v>2.2999999999999998</v>
      </c>
      <c r="I52" s="37" t="s">
        <v>110</v>
      </c>
      <c r="J52" s="37" t="str">
        <f t="shared" si="8"/>
        <v>Poor</v>
      </c>
      <c r="K52" s="89" t="str">
        <f t="shared" si="9"/>
        <v>High Discount</v>
      </c>
    </row>
    <row r="53" spans="1:11" ht="23.9" customHeight="1" x14ac:dyDescent="0.35">
      <c r="A53" s="86" t="s">
        <v>116</v>
      </c>
      <c r="B53" s="30">
        <v>990</v>
      </c>
      <c r="C53" s="30">
        <v>1814</v>
      </c>
      <c r="D53" s="30">
        <f t="shared" si="5"/>
        <v>824</v>
      </c>
      <c r="E53" s="31">
        <f t="shared" si="6"/>
        <v>0.45424476295479604</v>
      </c>
      <c r="F53" s="32" t="str">
        <f t="shared" si="7"/>
        <v>High Discount</v>
      </c>
      <c r="G53" s="30">
        <v>6</v>
      </c>
      <c r="H53" s="33">
        <v>2.2000000000000002</v>
      </c>
      <c r="I53" s="32" t="s">
        <v>110</v>
      </c>
      <c r="J53" s="32" t="str">
        <f t="shared" si="8"/>
        <v>Poor</v>
      </c>
      <c r="K53" s="88" t="str">
        <f t="shared" si="9"/>
        <v>High Discount</v>
      </c>
    </row>
    <row r="54" spans="1:11" ht="15" customHeight="1" x14ac:dyDescent="0.35">
      <c r="A54" s="87" t="s">
        <v>123</v>
      </c>
      <c r="B54" s="35">
        <v>968</v>
      </c>
      <c r="C54" s="35">
        <v>1814</v>
      </c>
      <c r="D54" s="35">
        <f t="shared" si="5"/>
        <v>846</v>
      </c>
      <c r="E54" s="36">
        <f t="shared" si="6"/>
        <v>0.46637265711135611</v>
      </c>
      <c r="F54" s="37" t="str">
        <f t="shared" si="7"/>
        <v>High Discount</v>
      </c>
      <c r="G54" s="35">
        <v>6</v>
      </c>
      <c r="H54" s="38">
        <v>2.2000000000000002</v>
      </c>
      <c r="I54" s="37" t="s">
        <v>110</v>
      </c>
      <c r="J54" s="37" t="str">
        <f t="shared" si="8"/>
        <v>Poor</v>
      </c>
      <c r="K54" s="89" t="str">
        <f t="shared" si="9"/>
        <v>High Discount</v>
      </c>
    </row>
    <row r="55" spans="1:11" ht="15" customHeight="1" x14ac:dyDescent="0.35">
      <c r="A55" s="86" t="s">
        <v>112</v>
      </c>
      <c r="B55" s="30">
        <v>2115</v>
      </c>
      <c r="C55" s="30">
        <v>4700</v>
      </c>
      <c r="D55" s="30">
        <f t="shared" si="5"/>
        <v>2585</v>
      </c>
      <c r="E55" s="31">
        <f t="shared" si="6"/>
        <v>0.55000000000000004</v>
      </c>
      <c r="F55" s="32" t="str">
        <f t="shared" si="7"/>
        <v>High Discount</v>
      </c>
      <c r="G55" s="30">
        <v>13</v>
      </c>
      <c r="H55" s="33">
        <v>2.1</v>
      </c>
      <c r="I55" s="32" t="s">
        <v>110</v>
      </c>
      <c r="J55" s="32" t="str">
        <f t="shared" si="8"/>
        <v>Poor</v>
      </c>
      <c r="K55" s="88" t="str">
        <f t="shared" si="9"/>
        <v>High Discount</v>
      </c>
    </row>
    <row r="56" spans="1:11" ht="26" x14ac:dyDescent="0.35">
      <c r="A56" s="86" t="s">
        <v>124</v>
      </c>
      <c r="B56" s="30">
        <v>1570</v>
      </c>
      <c r="C56" s="30">
        <v>2988</v>
      </c>
      <c r="D56" s="30">
        <f t="shared" si="5"/>
        <v>1418</v>
      </c>
      <c r="E56" s="31">
        <f t="shared" si="6"/>
        <v>0.4745649263721553</v>
      </c>
      <c r="F56" s="32" t="str">
        <f t="shared" si="7"/>
        <v>High Discount</v>
      </c>
      <c r="G56" s="30">
        <v>7</v>
      </c>
      <c r="H56" s="33">
        <v>2.1</v>
      </c>
      <c r="I56" s="32" t="s">
        <v>110</v>
      </c>
      <c r="J56" s="32" t="str">
        <f t="shared" si="8"/>
        <v>Poor</v>
      </c>
      <c r="K56" s="88" t="str">
        <f t="shared" si="9"/>
        <v>High Discount</v>
      </c>
    </row>
    <row r="57" spans="1:11" ht="15" customHeight="1" x14ac:dyDescent="0.35">
      <c r="A57" s="87" t="s">
        <v>159</v>
      </c>
      <c r="B57" s="35">
        <v>450</v>
      </c>
      <c r="C57" s="35">
        <v>900</v>
      </c>
      <c r="D57" s="35">
        <f t="shared" si="5"/>
        <v>450</v>
      </c>
      <c r="E57" s="36">
        <f t="shared" si="6"/>
        <v>0.5</v>
      </c>
      <c r="F57" s="37" t="str">
        <f t="shared" si="7"/>
        <v>High Discount</v>
      </c>
      <c r="G57" s="35">
        <v>1</v>
      </c>
      <c r="H57" s="38">
        <v>2</v>
      </c>
      <c r="I57" s="37" t="s">
        <v>110</v>
      </c>
      <c r="J57" s="37" t="str">
        <f t="shared" si="8"/>
        <v>Poor</v>
      </c>
      <c r="K57" s="89" t="str">
        <f t="shared" si="9"/>
        <v>High Discount</v>
      </c>
    </row>
    <row r="58" spans="1:11" ht="23.9" customHeight="1" x14ac:dyDescent="0.35">
      <c r="A58" s="87" t="s">
        <v>73</v>
      </c>
      <c r="B58" s="35">
        <v>1860</v>
      </c>
      <c r="C58" s="35">
        <v>3220</v>
      </c>
      <c r="D58" s="35">
        <f t="shared" si="5"/>
        <v>1360</v>
      </c>
      <c r="E58" s="36">
        <f t="shared" si="6"/>
        <v>0.42236024844720499</v>
      </c>
      <c r="F58" s="37" t="str">
        <f t="shared" si="7"/>
        <v>High Discount</v>
      </c>
      <c r="G58" s="35"/>
      <c r="H58" s="38"/>
      <c r="I58" s="37"/>
      <c r="J58" s="37" t="str">
        <f t="shared" si="8"/>
        <v>N/A</v>
      </c>
      <c r="K58" s="89" t="str">
        <f t="shared" si="9"/>
        <v>High Discount</v>
      </c>
    </row>
    <row r="59" spans="1:11" ht="15" customHeight="1" x14ac:dyDescent="0.35">
      <c r="A59" s="87" t="s">
        <v>81</v>
      </c>
      <c r="B59" s="35">
        <v>2200</v>
      </c>
      <c r="C59" s="35">
        <v>4080</v>
      </c>
      <c r="D59" s="35">
        <f t="shared" si="5"/>
        <v>1880</v>
      </c>
      <c r="E59" s="36">
        <f t="shared" si="6"/>
        <v>0.46078431372549017</v>
      </c>
      <c r="F59" s="37" t="str">
        <f t="shared" si="7"/>
        <v>High Discount</v>
      </c>
      <c r="G59" s="35"/>
      <c r="H59" s="38"/>
      <c r="I59" s="37"/>
      <c r="J59" s="37" t="str">
        <f t="shared" si="8"/>
        <v>N/A</v>
      </c>
      <c r="K59" s="89" t="str">
        <f t="shared" si="9"/>
        <v>High Discount</v>
      </c>
    </row>
    <row r="60" spans="1:11" ht="15" customHeight="1" x14ac:dyDescent="0.35">
      <c r="A60" s="86" t="s">
        <v>90</v>
      </c>
      <c r="B60" s="30">
        <v>2750</v>
      </c>
      <c r="C60" s="30">
        <v>4471</v>
      </c>
      <c r="D60" s="30">
        <f t="shared" si="5"/>
        <v>1721</v>
      </c>
      <c r="E60" s="31">
        <f t="shared" si="6"/>
        <v>0.38492507269067322</v>
      </c>
      <c r="F60" s="32" t="str">
        <f t="shared" si="7"/>
        <v>Medium Discount</v>
      </c>
      <c r="G60" s="30"/>
      <c r="H60" s="33"/>
      <c r="I60" s="32"/>
      <c r="J60" s="32" t="str">
        <f t="shared" si="8"/>
        <v>N/A</v>
      </c>
      <c r="K60" s="88" t="str">
        <f t="shared" si="9"/>
        <v>Medium Discount</v>
      </c>
    </row>
    <row r="61" spans="1:11" ht="23.9" customHeight="1" x14ac:dyDescent="0.35">
      <c r="A61" s="87" t="s">
        <v>91</v>
      </c>
      <c r="B61" s="35">
        <v>475</v>
      </c>
      <c r="C61" s="35">
        <v>931</v>
      </c>
      <c r="D61" s="35">
        <f t="shared" si="5"/>
        <v>456</v>
      </c>
      <c r="E61" s="36">
        <f t="shared" si="6"/>
        <v>0.48979591836734693</v>
      </c>
      <c r="F61" s="37" t="str">
        <f t="shared" si="7"/>
        <v>High Discount</v>
      </c>
      <c r="G61" s="35"/>
      <c r="H61" s="38"/>
      <c r="I61" s="37"/>
      <c r="J61" s="37" t="str">
        <f t="shared" si="8"/>
        <v>N/A</v>
      </c>
      <c r="K61" s="89" t="str">
        <f t="shared" si="9"/>
        <v>High Discount</v>
      </c>
    </row>
    <row r="62" spans="1:11" ht="15" customHeight="1" x14ac:dyDescent="0.35">
      <c r="A62" s="86" t="s">
        <v>92</v>
      </c>
      <c r="B62" s="30">
        <v>238</v>
      </c>
      <c r="C62" s="30">
        <v>476</v>
      </c>
      <c r="D62" s="30">
        <f t="shared" si="5"/>
        <v>238</v>
      </c>
      <c r="E62" s="31">
        <f t="shared" si="6"/>
        <v>0.5</v>
      </c>
      <c r="F62" s="32" t="str">
        <f t="shared" si="7"/>
        <v>High Discount</v>
      </c>
      <c r="G62" s="30"/>
      <c r="H62" s="33"/>
      <c r="I62" s="32"/>
      <c r="J62" s="32" t="str">
        <f t="shared" si="8"/>
        <v>N/A</v>
      </c>
      <c r="K62" s="88" t="str">
        <f t="shared" si="9"/>
        <v>High Discount</v>
      </c>
    </row>
    <row r="63" spans="1:11" ht="23.9" customHeight="1" x14ac:dyDescent="0.35">
      <c r="A63" s="87" t="s">
        <v>93</v>
      </c>
      <c r="B63" s="35">
        <v>610</v>
      </c>
      <c r="C63" s="35">
        <v>1060</v>
      </c>
      <c r="D63" s="35">
        <f t="shared" si="5"/>
        <v>450</v>
      </c>
      <c r="E63" s="36">
        <f t="shared" si="6"/>
        <v>0.42452830188679247</v>
      </c>
      <c r="F63" s="37" t="str">
        <f t="shared" si="7"/>
        <v>High Discount</v>
      </c>
      <c r="G63" s="35"/>
      <c r="H63" s="38"/>
      <c r="I63" s="37"/>
      <c r="J63" s="37" t="str">
        <f t="shared" si="8"/>
        <v>N/A</v>
      </c>
      <c r="K63" s="89" t="str">
        <f t="shared" si="9"/>
        <v>High Discount</v>
      </c>
    </row>
    <row r="64" spans="1:11" ht="15" customHeight="1" x14ac:dyDescent="0.35">
      <c r="A64" s="86" t="s">
        <v>94</v>
      </c>
      <c r="B64" s="30">
        <v>2132</v>
      </c>
      <c r="C64" s="30">
        <v>2169</v>
      </c>
      <c r="D64" s="30">
        <f t="shared" si="5"/>
        <v>37</v>
      </c>
      <c r="E64" s="31">
        <f t="shared" si="6"/>
        <v>1.705855232826187E-2</v>
      </c>
      <c r="F64" s="32" t="str">
        <f t="shared" si="7"/>
        <v>Low Discount</v>
      </c>
      <c r="G64" s="30"/>
      <c r="H64" s="33"/>
      <c r="I64" s="32"/>
      <c r="J64" s="32" t="str">
        <f t="shared" si="8"/>
        <v>N/A</v>
      </c>
      <c r="K64" s="88" t="str">
        <f t="shared" si="9"/>
        <v>Low Discount</v>
      </c>
    </row>
    <row r="65" spans="1:11" ht="23.9" customHeight="1" x14ac:dyDescent="0.35">
      <c r="A65" s="87" t="s">
        <v>95</v>
      </c>
      <c r="B65" s="35">
        <v>999</v>
      </c>
      <c r="C65" s="35">
        <v>2000</v>
      </c>
      <c r="D65" s="35">
        <f t="shared" si="5"/>
        <v>1001</v>
      </c>
      <c r="E65" s="36">
        <f t="shared" si="6"/>
        <v>0.50049999999999994</v>
      </c>
      <c r="F65" s="37" t="str">
        <f t="shared" si="7"/>
        <v>High Discount</v>
      </c>
      <c r="G65" s="35"/>
      <c r="H65" s="38"/>
      <c r="I65" s="37"/>
      <c r="J65" s="37" t="str">
        <f t="shared" si="8"/>
        <v>N/A</v>
      </c>
      <c r="K65" s="89" t="str">
        <f t="shared" si="9"/>
        <v>High Discount</v>
      </c>
    </row>
    <row r="66" spans="1:11" ht="25.25" customHeight="1" x14ac:dyDescent="0.35">
      <c r="A66" s="86" t="s">
        <v>96</v>
      </c>
      <c r="B66" s="30">
        <v>1190</v>
      </c>
      <c r="C66" s="30">
        <v>1785</v>
      </c>
      <c r="D66" s="30">
        <f t="shared" ref="D66:D97" si="10">C66-B66</f>
        <v>595</v>
      </c>
      <c r="E66" s="31">
        <f t="shared" ref="E66:E97" si="11">IF(C66&gt;0,(C66-B66)/C66,0)</f>
        <v>0.33333333333333331</v>
      </c>
      <c r="F66" s="32" t="str">
        <f t="shared" ref="F66:F97" si="12">IF(E66="","N/A",IF(E66&lt;0.2,"Low Discount",IF(E66&lt;=0.4,"Medium Discount","High Discount")))</f>
        <v>Medium Discount</v>
      </c>
      <c r="G66" s="30"/>
      <c r="H66" s="33"/>
      <c r="I66" s="32"/>
      <c r="J66" s="32" t="str">
        <f t="shared" ref="J66:J97" si="13">IF(H66="","N/A",IF(H66&lt;3,"Poor",IF(H66&lt;4.5,"Average","Excellent")))</f>
        <v>N/A</v>
      </c>
      <c r="K66" s="88" t="str">
        <f t="shared" ref="K66:K97" si="14">F66</f>
        <v>Medium Discount</v>
      </c>
    </row>
    <row r="67" spans="1:11" ht="15" customHeight="1" x14ac:dyDescent="0.35">
      <c r="A67" s="87" t="s">
        <v>97</v>
      </c>
      <c r="B67" s="35">
        <v>671</v>
      </c>
      <c r="C67" s="35">
        <v>1316</v>
      </c>
      <c r="D67" s="35">
        <f t="shared" si="10"/>
        <v>645</v>
      </c>
      <c r="E67" s="36">
        <f t="shared" si="11"/>
        <v>0.49012158054711247</v>
      </c>
      <c r="F67" s="37" t="str">
        <f t="shared" si="12"/>
        <v>High Discount</v>
      </c>
      <c r="G67" s="35"/>
      <c r="H67" s="38"/>
      <c r="I67" s="37"/>
      <c r="J67" s="37" t="str">
        <f t="shared" si="13"/>
        <v>N/A</v>
      </c>
      <c r="K67" s="89" t="str">
        <f t="shared" si="14"/>
        <v>High Discount</v>
      </c>
    </row>
    <row r="68" spans="1:11" ht="23.9" customHeight="1" x14ac:dyDescent="0.35">
      <c r="A68" s="86" t="s">
        <v>98</v>
      </c>
      <c r="B68" s="30">
        <v>1200</v>
      </c>
      <c r="C68" s="30">
        <v>1950</v>
      </c>
      <c r="D68" s="30">
        <f t="shared" si="10"/>
        <v>750</v>
      </c>
      <c r="E68" s="31">
        <f t="shared" si="11"/>
        <v>0.38461538461538464</v>
      </c>
      <c r="F68" s="32" t="str">
        <f t="shared" si="12"/>
        <v>Medium Discount</v>
      </c>
      <c r="G68" s="30"/>
      <c r="H68" s="33"/>
      <c r="I68" s="32"/>
      <c r="J68" s="32" t="str">
        <f t="shared" si="13"/>
        <v>N/A</v>
      </c>
      <c r="K68" s="88" t="str">
        <f t="shared" si="14"/>
        <v>Medium Discount</v>
      </c>
    </row>
    <row r="69" spans="1:11" ht="15" customHeight="1" x14ac:dyDescent="0.35">
      <c r="A69" s="87" t="s">
        <v>99</v>
      </c>
      <c r="B69" s="35">
        <v>199</v>
      </c>
      <c r="C69" s="35">
        <v>504</v>
      </c>
      <c r="D69" s="35">
        <f t="shared" si="10"/>
        <v>305</v>
      </c>
      <c r="E69" s="36">
        <f t="shared" si="11"/>
        <v>0.60515873015873012</v>
      </c>
      <c r="F69" s="37" t="str">
        <f t="shared" si="12"/>
        <v>High Discount</v>
      </c>
      <c r="G69" s="35"/>
      <c r="H69" s="38"/>
      <c r="I69" s="37"/>
      <c r="J69" s="37" t="str">
        <f t="shared" si="13"/>
        <v>N/A</v>
      </c>
      <c r="K69" s="89" t="str">
        <f t="shared" si="14"/>
        <v>High Discount</v>
      </c>
    </row>
    <row r="70" spans="1:11" ht="15" customHeight="1" x14ac:dyDescent="0.35">
      <c r="A70" s="86" t="s">
        <v>100</v>
      </c>
      <c r="B70" s="30">
        <v>299</v>
      </c>
      <c r="C70" s="30">
        <v>600</v>
      </c>
      <c r="D70" s="30">
        <f t="shared" si="10"/>
        <v>301</v>
      </c>
      <c r="E70" s="31">
        <f t="shared" si="11"/>
        <v>0.50166666666666671</v>
      </c>
      <c r="F70" s="32" t="str">
        <f t="shared" si="12"/>
        <v>High Discount</v>
      </c>
      <c r="G70" s="30"/>
      <c r="H70" s="33"/>
      <c r="I70" s="32"/>
      <c r="J70" s="32" t="str">
        <f t="shared" si="13"/>
        <v>N/A</v>
      </c>
      <c r="K70" s="88" t="str">
        <f t="shared" si="14"/>
        <v>High Discount</v>
      </c>
    </row>
    <row r="71" spans="1:11" ht="15" customHeight="1" x14ac:dyDescent="0.35">
      <c r="A71" s="87" t="s">
        <v>101</v>
      </c>
      <c r="B71" s="35">
        <v>1660</v>
      </c>
      <c r="C71" s="35">
        <v>1699</v>
      </c>
      <c r="D71" s="35">
        <f t="shared" si="10"/>
        <v>39</v>
      </c>
      <c r="E71" s="36">
        <f t="shared" si="11"/>
        <v>2.2954679223072396E-2</v>
      </c>
      <c r="F71" s="37" t="str">
        <f t="shared" si="12"/>
        <v>Low Discount</v>
      </c>
      <c r="G71" s="35"/>
      <c r="H71" s="38"/>
      <c r="I71" s="37"/>
      <c r="J71" s="37" t="str">
        <f t="shared" si="13"/>
        <v>N/A</v>
      </c>
      <c r="K71" s="89" t="str">
        <f t="shared" si="14"/>
        <v>Low Discount</v>
      </c>
    </row>
    <row r="72" spans="1:11" ht="23.9" customHeight="1" x14ac:dyDescent="0.35">
      <c r="A72" s="86" t="s">
        <v>102</v>
      </c>
      <c r="B72" s="30">
        <v>299</v>
      </c>
      <c r="C72" s="30">
        <v>384</v>
      </c>
      <c r="D72" s="30">
        <f t="shared" si="10"/>
        <v>85</v>
      </c>
      <c r="E72" s="31">
        <f t="shared" si="11"/>
        <v>0.22135416666666666</v>
      </c>
      <c r="F72" s="32" t="str">
        <f t="shared" si="12"/>
        <v>Medium Discount</v>
      </c>
      <c r="G72" s="30"/>
      <c r="H72" s="33"/>
      <c r="I72" s="32"/>
      <c r="J72" s="32" t="str">
        <f t="shared" si="13"/>
        <v>N/A</v>
      </c>
      <c r="K72" s="88" t="str">
        <f t="shared" si="14"/>
        <v>Medium Discount</v>
      </c>
    </row>
    <row r="73" spans="1:11" ht="26" x14ac:dyDescent="0.35">
      <c r="A73" s="87" t="s">
        <v>103</v>
      </c>
      <c r="B73" s="35">
        <v>1459</v>
      </c>
      <c r="C73" s="35">
        <v>1499</v>
      </c>
      <c r="D73" s="35">
        <f t="shared" si="10"/>
        <v>40</v>
      </c>
      <c r="E73" s="36">
        <f t="shared" si="11"/>
        <v>2.6684456304202801E-2</v>
      </c>
      <c r="F73" s="37" t="str">
        <f t="shared" si="12"/>
        <v>Low Discount</v>
      </c>
      <c r="G73" s="35"/>
      <c r="H73" s="38"/>
      <c r="I73" s="37"/>
      <c r="J73" s="37" t="str">
        <f t="shared" si="13"/>
        <v>N/A</v>
      </c>
      <c r="K73" s="89" t="str">
        <f t="shared" si="14"/>
        <v>Low Discount</v>
      </c>
    </row>
    <row r="74" spans="1:11" ht="23.9" customHeight="1" x14ac:dyDescent="0.35">
      <c r="A74" s="86" t="s">
        <v>104</v>
      </c>
      <c r="B74" s="30">
        <v>799</v>
      </c>
      <c r="C74" s="30">
        <v>1343</v>
      </c>
      <c r="D74" s="30">
        <f t="shared" si="10"/>
        <v>544</v>
      </c>
      <c r="E74" s="31">
        <f t="shared" si="11"/>
        <v>0.4050632911392405</v>
      </c>
      <c r="F74" s="32" t="str">
        <f t="shared" si="12"/>
        <v>High Discount</v>
      </c>
      <c r="G74" s="30"/>
      <c r="H74" s="33"/>
      <c r="I74" s="32"/>
      <c r="J74" s="32" t="str">
        <f t="shared" si="13"/>
        <v>N/A</v>
      </c>
      <c r="K74" s="88" t="str">
        <f t="shared" si="14"/>
        <v>High Discount</v>
      </c>
    </row>
    <row r="75" spans="1:11" ht="15" customHeight="1" x14ac:dyDescent="0.35">
      <c r="A75" s="87" t="s">
        <v>105</v>
      </c>
      <c r="B75" s="35">
        <v>499</v>
      </c>
      <c r="C75" s="35">
        <v>900</v>
      </c>
      <c r="D75" s="35">
        <f t="shared" si="10"/>
        <v>401</v>
      </c>
      <c r="E75" s="36">
        <f t="shared" si="11"/>
        <v>0.44555555555555554</v>
      </c>
      <c r="F75" s="37" t="str">
        <f t="shared" si="12"/>
        <v>High Discount</v>
      </c>
      <c r="G75" s="35"/>
      <c r="H75" s="38"/>
      <c r="I75" s="37"/>
      <c r="J75" s="37" t="str">
        <f t="shared" si="13"/>
        <v>N/A</v>
      </c>
      <c r="K75" s="89" t="str">
        <f t="shared" si="14"/>
        <v>High Discount</v>
      </c>
    </row>
    <row r="76" spans="1:11" ht="15" customHeight="1" x14ac:dyDescent="0.35">
      <c r="A76" s="86" t="s">
        <v>106</v>
      </c>
      <c r="B76" s="30">
        <v>699</v>
      </c>
      <c r="C76" s="30">
        <v>1343</v>
      </c>
      <c r="D76" s="30">
        <f t="shared" si="10"/>
        <v>644</v>
      </c>
      <c r="E76" s="31">
        <f t="shared" si="11"/>
        <v>0.47952345495160087</v>
      </c>
      <c r="F76" s="32" t="str">
        <f t="shared" si="12"/>
        <v>High Discount</v>
      </c>
      <c r="G76" s="30"/>
      <c r="H76" s="33"/>
      <c r="I76" s="32"/>
      <c r="J76" s="32" t="str">
        <f t="shared" si="13"/>
        <v>N/A</v>
      </c>
      <c r="K76" s="88" t="str">
        <f t="shared" si="14"/>
        <v>High Discount</v>
      </c>
    </row>
    <row r="77" spans="1:11" ht="23.9" customHeight="1" x14ac:dyDescent="0.35">
      <c r="A77" s="87" t="s">
        <v>107</v>
      </c>
      <c r="B77" s="35">
        <v>799</v>
      </c>
      <c r="C77" s="35">
        <v>1567</v>
      </c>
      <c r="D77" s="35">
        <f t="shared" si="10"/>
        <v>768</v>
      </c>
      <c r="E77" s="36">
        <f t="shared" si="11"/>
        <v>0.49010848755583919</v>
      </c>
      <c r="F77" s="37" t="str">
        <f t="shared" si="12"/>
        <v>High Discount</v>
      </c>
      <c r="G77" s="35"/>
      <c r="H77" s="38"/>
      <c r="I77" s="37"/>
      <c r="J77" s="37" t="str">
        <f t="shared" si="13"/>
        <v>N/A</v>
      </c>
      <c r="K77" s="89" t="str">
        <f t="shared" si="14"/>
        <v>High Discount</v>
      </c>
    </row>
    <row r="78" spans="1:11" ht="23.9" customHeight="1" x14ac:dyDescent="0.35">
      <c r="A78" s="86" t="s">
        <v>108</v>
      </c>
      <c r="B78" s="30">
        <v>2799</v>
      </c>
      <c r="C78" s="30">
        <v>3810</v>
      </c>
      <c r="D78" s="30">
        <f t="shared" si="10"/>
        <v>1011</v>
      </c>
      <c r="E78" s="31">
        <f t="shared" si="11"/>
        <v>0.26535433070866143</v>
      </c>
      <c r="F78" s="32" t="str">
        <f t="shared" si="12"/>
        <v>Medium Discount</v>
      </c>
      <c r="G78" s="30"/>
      <c r="H78" s="33"/>
      <c r="I78" s="32"/>
      <c r="J78" s="32" t="str">
        <f t="shared" si="13"/>
        <v>N/A</v>
      </c>
      <c r="K78" s="88" t="str">
        <f t="shared" si="14"/>
        <v>Medium Discount</v>
      </c>
    </row>
    <row r="79" spans="1:11" ht="15" customHeight="1" x14ac:dyDescent="0.35">
      <c r="A79" s="87" t="s">
        <v>105</v>
      </c>
      <c r="B79" s="35">
        <v>399</v>
      </c>
      <c r="C79" s="35">
        <v>896</v>
      </c>
      <c r="D79" s="35">
        <f t="shared" si="10"/>
        <v>497</v>
      </c>
      <c r="E79" s="36">
        <f t="shared" si="11"/>
        <v>0.5546875</v>
      </c>
      <c r="F79" s="37" t="str">
        <f t="shared" si="12"/>
        <v>High Discount</v>
      </c>
      <c r="G79" s="35"/>
      <c r="H79" s="38"/>
      <c r="I79" s="37"/>
      <c r="J79" s="37" t="str">
        <f t="shared" si="13"/>
        <v>N/A</v>
      </c>
      <c r="K79" s="89" t="str">
        <f t="shared" si="14"/>
        <v>High Discount</v>
      </c>
    </row>
    <row r="80" spans="1:11" ht="23.9" customHeight="1" x14ac:dyDescent="0.35">
      <c r="A80" s="87" t="s">
        <v>125</v>
      </c>
      <c r="B80" s="35">
        <v>790</v>
      </c>
      <c r="C80" s="35">
        <v>1485</v>
      </c>
      <c r="D80" s="35">
        <f t="shared" si="10"/>
        <v>695</v>
      </c>
      <c r="E80" s="36">
        <f t="shared" si="11"/>
        <v>0.46801346801346799</v>
      </c>
      <c r="F80" s="37" t="str">
        <f t="shared" si="12"/>
        <v>High Discount</v>
      </c>
      <c r="G80" s="35"/>
      <c r="H80" s="38"/>
      <c r="I80" s="37"/>
      <c r="J80" s="37" t="str">
        <f t="shared" si="13"/>
        <v>N/A</v>
      </c>
      <c r="K80" s="89" t="str">
        <f t="shared" si="14"/>
        <v>High Discount</v>
      </c>
    </row>
    <row r="81" spans="1:11" ht="23.9" customHeight="1" x14ac:dyDescent="0.35">
      <c r="A81" s="86" t="s">
        <v>126</v>
      </c>
      <c r="B81" s="30">
        <v>690</v>
      </c>
      <c r="C81" s="30">
        <v>1200</v>
      </c>
      <c r="D81" s="30">
        <f t="shared" si="10"/>
        <v>510</v>
      </c>
      <c r="E81" s="31">
        <f t="shared" si="11"/>
        <v>0.42499999999999999</v>
      </c>
      <c r="F81" s="32" t="str">
        <f t="shared" si="12"/>
        <v>High Discount</v>
      </c>
      <c r="G81" s="30"/>
      <c r="H81" s="33"/>
      <c r="I81" s="32"/>
      <c r="J81" s="32" t="str">
        <f t="shared" si="13"/>
        <v>N/A</v>
      </c>
      <c r="K81" s="88" t="str">
        <f t="shared" si="14"/>
        <v>High Discount</v>
      </c>
    </row>
    <row r="82" spans="1:11" ht="23.9" customHeight="1" x14ac:dyDescent="0.35">
      <c r="A82" s="87" t="s">
        <v>127</v>
      </c>
      <c r="B82" s="35">
        <v>1732</v>
      </c>
      <c r="C82" s="35">
        <v>1799</v>
      </c>
      <c r="D82" s="35">
        <f t="shared" si="10"/>
        <v>67</v>
      </c>
      <c r="E82" s="36">
        <f t="shared" si="11"/>
        <v>3.7242912729294052E-2</v>
      </c>
      <c r="F82" s="37" t="str">
        <f t="shared" si="12"/>
        <v>Low Discount</v>
      </c>
      <c r="G82" s="35"/>
      <c r="H82" s="38"/>
      <c r="I82" s="37"/>
      <c r="J82" s="37" t="str">
        <f t="shared" si="13"/>
        <v>N/A</v>
      </c>
      <c r="K82" s="89" t="str">
        <f t="shared" si="14"/>
        <v>Low Discount</v>
      </c>
    </row>
    <row r="83" spans="1:11" ht="26" x14ac:dyDescent="0.35">
      <c r="A83" s="86" t="s">
        <v>128</v>
      </c>
      <c r="B83" s="30">
        <v>230</v>
      </c>
      <c r="C83" s="30">
        <v>450</v>
      </c>
      <c r="D83" s="30">
        <f t="shared" si="10"/>
        <v>220</v>
      </c>
      <c r="E83" s="31">
        <f t="shared" si="11"/>
        <v>0.48888888888888887</v>
      </c>
      <c r="F83" s="32" t="str">
        <f t="shared" si="12"/>
        <v>High Discount</v>
      </c>
      <c r="G83" s="30"/>
      <c r="H83" s="33"/>
      <c r="I83" s="32"/>
      <c r="J83" s="32" t="str">
        <f t="shared" si="13"/>
        <v>N/A</v>
      </c>
      <c r="K83" s="88" t="str">
        <f t="shared" si="14"/>
        <v>High Discount</v>
      </c>
    </row>
    <row r="84" spans="1:11" ht="26" x14ac:dyDescent="0.35">
      <c r="A84" s="87" t="s">
        <v>131</v>
      </c>
      <c r="B84" s="35">
        <v>1460</v>
      </c>
      <c r="C84" s="35">
        <v>2290</v>
      </c>
      <c r="D84" s="35">
        <f t="shared" si="10"/>
        <v>830</v>
      </c>
      <c r="E84" s="36">
        <f t="shared" si="11"/>
        <v>0.36244541484716158</v>
      </c>
      <c r="F84" s="37" t="str">
        <f t="shared" si="12"/>
        <v>Medium Discount</v>
      </c>
      <c r="G84" s="35"/>
      <c r="H84" s="38"/>
      <c r="I84" s="37"/>
      <c r="J84" s="37" t="str">
        <f t="shared" si="13"/>
        <v>N/A</v>
      </c>
      <c r="K84" s="89" t="str">
        <f t="shared" si="14"/>
        <v>Medium Discount</v>
      </c>
    </row>
    <row r="85" spans="1:11" ht="23.9" customHeight="1" x14ac:dyDescent="0.35">
      <c r="A85" s="86" t="s">
        <v>132</v>
      </c>
      <c r="B85" s="30">
        <v>1666</v>
      </c>
      <c r="C85" s="30">
        <v>1699</v>
      </c>
      <c r="D85" s="30">
        <f t="shared" si="10"/>
        <v>33</v>
      </c>
      <c r="E85" s="31">
        <f t="shared" si="11"/>
        <v>1.9423190111830489E-2</v>
      </c>
      <c r="F85" s="32" t="str">
        <f t="shared" si="12"/>
        <v>Low Discount</v>
      </c>
      <c r="G85" s="30"/>
      <c r="H85" s="33"/>
      <c r="I85" s="32"/>
      <c r="J85" s="32" t="str">
        <f t="shared" si="13"/>
        <v>N/A</v>
      </c>
      <c r="K85" s="88" t="str">
        <f t="shared" si="14"/>
        <v>Low Discount</v>
      </c>
    </row>
    <row r="86" spans="1:11" ht="15" customHeight="1" x14ac:dyDescent="0.35">
      <c r="A86" s="86" t="s">
        <v>99</v>
      </c>
      <c r="B86" s="30">
        <v>176</v>
      </c>
      <c r="C86" s="30">
        <v>345</v>
      </c>
      <c r="D86" s="30">
        <f t="shared" si="10"/>
        <v>169</v>
      </c>
      <c r="E86" s="31">
        <f t="shared" si="11"/>
        <v>0.48985507246376814</v>
      </c>
      <c r="F86" s="32" t="str">
        <f t="shared" si="12"/>
        <v>High Discount</v>
      </c>
      <c r="G86" s="30"/>
      <c r="H86" s="33"/>
      <c r="I86" s="32"/>
      <c r="J86" s="32" t="str">
        <f t="shared" si="13"/>
        <v>N/A</v>
      </c>
      <c r="K86" s="88" t="str">
        <f t="shared" si="14"/>
        <v>High Discount</v>
      </c>
    </row>
    <row r="87" spans="1:11" ht="26" x14ac:dyDescent="0.35">
      <c r="A87" s="87" t="s">
        <v>134</v>
      </c>
      <c r="B87" s="35">
        <v>1466</v>
      </c>
      <c r="C87" s="35">
        <v>1699</v>
      </c>
      <c r="D87" s="35">
        <f t="shared" si="10"/>
        <v>233</v>
      </c>
      <c r="E87" s="36">
        <f t="shared" si="11"/>
        <v>0.13713949381989404</v>
      </c>
      <c r="F87" s="37" t="str">
        <f t="shared" si="12"/>
        <v>Low Discount</v>
      </c>
      <c r="G87" s="35"/>
      <c r="H87" s="38"/>
      <c r="I87" s="37"/>
      <c r="J87" s="37" t="str">
        <f t="shared" si="13"/>
        <v>N/A</v>
      </c>
      <c r="K87" s="89" t="str">
        <f t="shared" si="14"/>
        <v>Low Discount</v>
      </c>
    </row>
    <row r="88" spans="1:11" ht="15" customHeight="1" x14ac:dyDescent="0.35">
      <c r="A88" s="86" t="s">
        <v>135</v>
      </c>
      <c r="B88" s="30">
        <v>274</v>
      </c>
      <c r="C88" s="30">
        <v>537</v>
      </c>
      <c r="D88" s="30">
        <f t="shared" si="10"/>
        <v>263</v>
      </c>
      <c r="E88" s="31">
        <f t="shared" si="11"/>
        <v>0.48975791433891991</v>
      </c>
      <c r="F88" s="32" t="str">
        <f t="shared" si="12"/>
        <v>High Discount</v>
      </c>
      <c r="G88" s="30"/>
      <c r="H88" s="33"/>
      <c r="I88" s="32"/>
      <c r="J88" s="32" t="str">
        <f t="shared" si="13"/>
        <v>N/A</v>
      </c>
      <c r="K88" s="88" t="str">
        <f t="shared" si="14"/>
        <v>High Discount</v>
      </c>
    </row>
    <row r="89" spans="1:11" ht="15" customHeight="1" x14ac:dyDescent="0.35">
      <c r="A89" s="87" t="s">
        <v>136</v>
      </c>
      <c r="B89" s="35">
        <v>799</v>
      </c>
      <c r="C89" s="35">
        <v>900</v>
      </c>
      <c r="D89" s="35">
        <f t="shared" si="10"/>
        <v>101</v>
      </c>
      <c r="E89" s="36">
        <f t="shared" si="11"/>
        <v>0.11222222222222222</v>
      </c>
      <c r="F89" s="37" t="str">
        <f t="shared" si="12"/>
        <v>Low Discount</v>
      </c>
      <c r="G89" s="35"/>
      <c r="H89" s="38"/>
      <c r="I89" s="37"/>
      <c r="J89" s="37" t="str">
        <f t="shared" si="13"/>
        <v>N/A</v>
      </c>
      <c r="K89" s="89" t="str">
        <f t="shared" si="14"/>
        <v>Low Discount</v>
      </c>
    </row>
    <row r="90" spans="1:11" ht="15" customHeight="1" x14ac:dyDescent="0.35">
      <c r="A90" s="86" t="s">
        <v>107</v>
      </c>
      <c r="B90" s="30">
        <v>657</v>
      </c>
      <c r="C90" s="30">
        <v>1288</v>
      </c>
      <c r="D90" s="30">
        <f t="shared" si="10"/>
        <v>631</v>
      </c>
      <c r="E90" s="31">
        <f t="shared" si="11"/>
        <v>0.48990683229813664</v>
      </c>
      <c r="F90" s="32" t="str">
        <f t="shared" si="12"/>
        <v>High Discount</v>
      </c>
      <c r="G90" s="30"/>
      <c r="H90" s="33"/>
      <c r="I90" s="32"/>
      <c r="J90" s="32" t="str">
        <f t="shared" si="13"/>
        <v>N/A</v>
      </c>
      <c r="K90" s="88" t="str">
        <f t="shared" si="14"/>
        <v>High Discount</v>
      </c>
    </row>
    <row r="91" spans="1:11" ht="15" customHeight="1" x14ac:dyDescent="0.35">
      <c r="A91" s="87" t="s">
        <v>137</v>
      </c>
      <c r="B91" s="35">
        <v>1468</v>
      </c>
      <c r="C91" s="35">
        <v>1699</v>
      </c>
      <c r="D91" s="35">
        <f t="shared" si="10"/>
        <v>231</v>
      </c>
      <c r="E91" s="36">
        <f t="shared" si="11"/>
        <v>0.13596233078281342</v>
      </c>
      <c r="F91" s="37" t="str">
        <f t="shared" si="12"/>
        <v>Low Discount</v>
      </c>
      <c r="G91" s="35"/>
      <c r="H91" s="38"/>
      <c r="I91" s="37"/>
      <c r="J91" s="37" t="str">
        <f t="shared" si="13"/>
        <v>N/A</v>
      </c>
      <c r="K91" s="89" t="str">
        <f t="shared" si="14"/>
        <v>Low Discount</v>
      </c>
    </row>
    <row r="92" spans="1:11" ht="15" customHeight="1" x14ac:dyDescent="0.35">
      <c r="A92" s="86" t="s">
        <v>138</v>
      </c>
      <c r="B92" s="30">
        <v>630</v>
      </c>
      <c r="C92" s="30">
        <v>1100</v>
      </c>
      <c r="D92" s="30">
        <f t="shared" si="10"/>
        <v>470</v>
      </c>
      <c r="E92" s="31">
        <f t="shared" si="11"/>
        <v>0.42727272727272725</v>
      </c>
      <c r="F92" s="32" t="str">
        <f t="shared" si="12"/>
        <v>High Discount</v>
      </c>
      <c r="G92" s="30"/>
      <c r="H92" s="33"/>
      <c r="I92" s="32"/>
      <c r="J92" s="32" t="str">
        <f t="shared" si="13"/>
        <v>N/A</v>
      </c>
      <c r="K92" s="88" t="str">
        <f t="shared" si="14"/>
        <v>High Discount</v>
      </c>
    </row>
    <row r="93" spans="1:11" ht="23.9" customHeight="1" x14ac:dyDescent="0.35">
      <c r="A93" s="87" t="s">
        <v>139</v>
      </c>
      <c r="B93" s="35">
        <v>850</v>
      </c>
      <c r="C93" s="35">
        <v>1700</v>
      </c>
      <c r="D93" s="35">
        <f t="shared" si="10"/>
        <v>850</v>
      </c>
      <c r="E93" s="36">
        <f t="shared" si="11"/>
        <v>0.5</v>
      </c>
      <c r="F93" s="37" t="str">
        <f t="shared" si="12"/>
        <v>High Discount</v>
      </c>
      <c r="G93" s="35"/>
      <c r="H93" s="38"/>
      <c r="I93" s="37"/>
      <c r="J93" s="37" t="str">
        <f t="shared" si="13"/>
        <v>N/A</v>
      </c>
      <c r="K93" s="89" t="str">
        <f t="shared" si="14"/>
        <v>High Discount</v>
      </c>
    </row>
    <row r="94" spans="1:11" ht="15" customHeight="1" x14ac:dyDescent="0.35">
      <c r="A94" s="86" t="s">
        <v>140</v>
      </c>
      <c r="B94" s="30">
        <v>1300</v>
      </c>
      <c r="C94" s="30">
        <v>2500</v>
      </c>
      <c r="D94" s="30">
        <f t="shared" si="10"/>
        <v>1200</v>
      </c>
      <c r="E94" s="31">
        <f t="shared" si="11"/>
        <v>0.48</v>
      </c>
      <c r="F94" s="32" t="str">
        <f t="shared" si="12"/>
        <v>High Discount</v>
      </c>
      <c r="G94" s="30"/>
      <c r="H94" s="33"/>
      <c r="I94" s="32"/>
      <c r="J94" s="32" t="str">
        <f t="shared" si="13"/>
        <v>N/A</v>
      </c>
      <c r="K94" s="88" t="str">
        <f t="shared" si="14"/>
        <v>High Discount</v>
      </c>
    </row>
    <row r="95" spans="1:11" ht="26" x14ac:dyDescent="0.35">
      <c r="A95" s="87" t="s">
        <v>141</v>
      </c>
      <c r="B95" s="35">
        <v>105</v>
      </c>
      <c r="C95" s="35">
        <v>200</v>
      </c>
      <c r="D95" s="35">
        <f t="shared" si="10"/>
        <v>95</v>
      </c>
      <c r="E95" s="36">
        <f t="shared" si="11"/>
        <v>0.47499999999999998</v>
      </c>
      <c r="F95" s="37" t="str">
        <f t="shared" si="12"/>
        <v>High Discount</v>
      </c>
      <c r="G95" s="35"/>
      <c r="H95" s="38"/>
      <c r="I95" s="37"/>
      <c r="J95" s="37" t="str">
        <f t="shared" si="13"/>
        <v>N/A</v>
      </c>
      <c r="K95" s="89" t="str">
        <f t="shared" si="14"/>
        <v>High Discount</v>
      </c>
    </row>
    <row r="96" spans="1:11" ht="23.9" customHeight="1" x14ac:dyDescent="0.35">
      <c r="A96" s="86" t="s">
        <v>142</v>
      </c>
      <c r="B96" s="30">
        <v>899</v>
      </c>
      <c r="C96" s="30">
        <v>1699</v>
      </c>
      <c r="D96" s="30">
        <f t="shared" si="10"/>
        <v>800</v>
      </c>
      <c r="E96" s="31">
        <f t="shared" si="11"/>
        <v>0.47086521483225424</v>
      </c>
      <c r="F96" s="32" t="str">
        <f t="shared" si="12"/>
        <v>High Discount</v>
      </c>
      <c r="G96" s="30"/>
      <c r="H96" s="33"/>
      <c r="I96" s="32"/>
      <c r="J96" s="32" t="str">
        <f t="shared" si="13"/>
        <v>N/A</v>
      </c>
      <c r="K96" s="88" t="str">
        <f t="shared" si="14"/>
        <v>High Discount</v>
      </c>
    </row>
    <row r="97" spans="1:11" ht="15" customHeight="1" x14ac:dyDescent="0.35">
      <c r="A97" s="87" t="s">
        <v>143</v>
      </c>
      <c r="B97" s="35">
        <v>1200</v>
      </c>
      <c r="C97" s="35">
        <v>2400</v>
      </c>
      <c r="D97" s="35">
        <f t="shared" si="10"/>
        <v>1200</v>
      </c>
      <c r="E97" s="36">
        <f t="shared" si="11"/>
        <v>0.5</v>
      </c>
      <c r="F97" s="37" t="str">
        <f t="shared" si="12"/>
        <v>High Discount</v>
      </c>
      <c r="G97" s="35"/>
      <c r="H97" s="38"/>
      <c r="I97" s="37"/>
      <c r="J97" s="37" t="str">
        <f t="shared" si="13"/>
        <v>N/A</v>
      </c>
      <c r="K97" s="89" t="str">
        <f t="shared" si="14"/>
        <v>High Discount</v>
      </c>
    </row>
    <row r="98" spans="1:11" ht="26" x14ac:dyDescent="0.35">
      <c r="A98" s="86" t="s">
        <v>144</v>
      </c>
      <c r="B98" s="30">
        <v>1526</v>
      </c>
      <c r="C98" s="30">
        <v>1660</v>
      </c>
      <c r="D98" s="30">
        <f t="shared" ref="D98:D112" si="15">C98-B98</f>
        <v>134</v>
      </c>
      <c r="E98" s="31">
        <f t="shared" ref="E98:E112" si="16">IF(C98&gt;0,(C98-B98)/C98,0)</f>
        <v>8.0722891566265054E-2</v>
      </c>
      <c r="F98" s="32" t="str">
        <f t="shared" ref="F98:F112" si="17">IF(E98="","N/A",IF(E98&lt;0.2,"Low Discount",IF(E98&lt;=0.4,"Medium Discount","High Discount")))</f>
        <v>Low Discount</v>
      </c>
      <c r="G98" s="30"/>
      <c r="H98" s="33"/>
      <c r="I98" s="32"/>
      <c r="J98" s="32" t="str">
        <f t="shared" ref="J98:J112" si="18">IF(H98="","N/A",IF(H98&lt;3,"Poor",IF(H98&lt;4.5,"Average","Excellent")))</f>
        <v>N/A</v>
      </c>
      <c r="K98" s="88" t="str">
        <f t="shared" ref="K98:K112" si="19">F98</f>
        <v>Low Discount</v>
      </c>
    </row>
    <row r="99" spans="1:11" ht="23.9" customHeight="1" x14ac:dyDescent="0.35">
      <c r="A99" s="87" t="s">
        <v>145</v>
      </c>
      <c r="B99" s="35">
        <v>1462</v>
      </c>
      <c r="C99" s="35">
        <v>1499</v>
      </c>
      <c r="D99" s="35">
        <f t="shared" si="15"/>
        <v>37</v>
      </c>
      <c r="E99" s="36">
        <f t="shared" si="16"/>
        <v>2.4683122081387593E-2</v>
      </c>
      <c r="F99" s="37" t="str">
        <f t="shared" si="17"/>
        <v>Low Discount</v>
      </c>
      <c r="G99" s="35"/>
      <c r="H99" s="38"/>
      <c r="I99" s="37"/>
      <c r="J99" s="37" t="str">
        <f t="shared" si="18"/>
        <v>N/A</v>
      </c>
      <c r="K99" s="89" t="str">
        <f t="shared" si="19"/>
        <v>Low Discount</v>
      </c>
    </row>
    <row r="100" spans="1:11" ht="15" customHeight="1" x14ac:dyDescent="0.35">
      <c r="A100" s="86" t="s">
        <v>146</v>
      </c>
      <c r="B100" s="30">
        <v>248</v>
      </c>
      <c r="C100" s="30">
        <v>486</v>
      </c>
      <c r="D100" s="30">
        <f t="shared" si="15"/>
        <v>238</v>
      </c>
      <c r="E100" s="31">
        <f t="shared" si="16"/>
        <v>0.48971193415637859</v>
      </c>
      <c r="F100" s="32" t="str">
        <f t="shared" si="17"/>
        <v>High Discount</v>
      </c>
      <c r="G100" s="30"/>
      <c r="H100" s="33"/>
      <c r="I100" s="32"/>
      <c r="J100" s="32" t="str">
        <f t="shared" si="18"/>
        <v>N/A</v>
      </c>
      <c r="K100" s="88" t="str">
        <f t="shared" si="19"/>
        <v>High Discount</v>
      </c>
    </row>
    <row r="101" spans="1:11" ht="26" x14ac:dyDescent="0.35">
      <c r="A101" s="87" t="s">
        <v>147</v>
      </c>
      <c r="B101" s="35">
        <v>3546</v>
      </c>
      <c r="C101" s="35">
        <v>3699</v>
      </c>
      <c r="D101" s="35">
        <f t="shared" si="15"/>
        <v>153</v>
      </c>
      <c r="E101" s="36">
        <f t="shared" si="16"/>
        <v>4.1362530413625302E-2</v>
      </c>
      <c r="F101" s="37" t="str">
        <f t="shared" si="17"/>
        <v>Low Discount</v>
      </c>
      <c r="G101" s="35"/>
      <c r="H101" s="38"/>
      <c r="I101" s="37"/>
      <c r="J101" s="37" t="str">
        <f t="shared" si="18"/>
        <v>N/A</v>
      </c>
      <c r="K101" s="89" t="str">
        <f t="shared" si="19"/>
        <v>Low Discount</v>
      </c>
    </row>
    <row r="102" spans="1:11" ht="23.9" customHeight="1" x14ac:dyDescent="0.35">
      <c r="A102" s="86" t="s">
        <v>148</v>
      </c>
      <c r="B102" s="30">
        <v>525</v>
      </c>
      <c r="C102" s="30">
        <v>1029</v>
      </c>
      <c r="D102" s="30">
        <f t="shared" si="15"/>
        <v>504</v>
      </c>
      <c r="E102" s="31">
        <f t="shared" si="16"/>
        <v>0.48979591836734693</v>
      </c>
      <c r="F102" s="32" t="str">
        <f t="shared" si="17"/>
        <v>High Discount</v>
      </c>
      <c r="G102" s="30"/>
      <c r="H102" s="33"/>
      <c r="I102" s="32"/>
      <c r="J102" s="32" t="str">
        <f t="shared" si="18"/>
        <v>N/A</v>
      </c>
      <c r="K102" s="88" t="str">
        <f t="shared" si="19"/>
        <v>High Discount</v>
      </c>
    </row>
    <row r="103" spans="1:11" ht="23.9" customHeight="1" x14ac:dyDescent="0.35">
      <c r="A103" s="87" t="s">
        <v>149</v>
      </c>
      <c r="B103" s="35">
        <v>1080</v>
      </c>
      <c r="C103" s="35">
        <v>1874</v>
      </c>
      <c r="D103" s="35">
        <f t="shared" si="15"/>
        <v>794</v>
      </c>
      <c r="E103" s="36">
        <f t="shared" si="16"/>
        <v>0.42369263607257202</v>
      </c>
      <c r="F103" s="37" t="str">
        <f t="shared" si="17"/>
        <v>High Discount</v>
      </c>
      <c r="G103" s="35"/>
      <c r="H103" s="38"/>
      <c r="I103" s="37"/>
      <c r="J103" s="37" t="str">
        <f t="shared" si="18"/>
        <v>N/A</v>
      </c>
      <c r="K103" s="89" t="str">
        <f t="shared" si="19"/>
        <v>High Discount</v>
      </c>
    </row>
    <row r="104" spans="1:11" ht="23.9" customHeight="1" x14ac:dyDescent="0.35">
      <c r="A104" s="87" t="s">
        <v>151</v>
      </c>
      <c r="B104" s="35">
        <v>1420</v>
      </c>
      <c r="C104" s="35">
        <v>2420</v>
      </c>
      <c r="D104" s="35">
        <f t="shared" si="15"/>
        <v>1000</v>
      </c>
      <c r="E104" s="36">
        <f t="shared" si="16"/>
        <v>0.41322314049586778</v>
      </c>
      <c r="F104" s="37" t="str">
        <f t="shared" si="17"/>
        <v>High Discount</v>
      </c>
      <c r="G104" s="35"/>
      <c r="H104" s="38"/>
      <c r="I104" s="37"/>
      <c r="J104" s="37" t="str">
        <f t="shared" si="18"/>
        <v>N/A</v>
      </c>
      <c r="K104" s="89" t="str">
        <f t="shared" si="19"/>
        <v>High Discount</v>
      </c>
    </row>
    <row r="105" spans="1:11" ht="26" x14ac:dyDescent="0.35">
      <c r="A105" s="86" t="s">
        <v>152</v>
      </c>
      <c r="B105" s="30">
        <v>1875</v>
      </c>
      <c r="C105" s="30">
        <v>1899</v>
      </c>
      <c r="D105" s="30">
        <f t="shared" si="15"/>
        <v>24</v>
      </c>
      <c r="E105" s="31">
        <f t="shared" si="16"/>
        <v>1.2638230647709321E-2</v>
      </c>
      <c r="F105" s="32" t="str">
        <f t="shared" si="17"/>
        <v>Low Discount</v>
      </c>
      <c r="G105" s="30"/>
      <c r="H105" s="33"/>
      <c r="I105" s="32"/>
      <c r="J105" s="32" t="str">
        <f t="shared" si="18"/>
        <v>N/A</v>
      </c>
      <c r="K105" s="88" t="str">
        <f t="shared" si="19"/>
        <v>Low Discount</v>
      </c>
    </row>
    <row r="106" spans="1:11" ht="15" customHeight="1" x14ac:dyDescent="0.35">
      <c r="A106" s="87" t="s">
        <v>153</v>
      </c>
      <c r="B106" s="35">
        <v>198</v>
      </c>
      <c r="C106" s="35">
        <v>260</v>
      </c>
      <c r="D106" s="35">
        <f t="shared" si="15"/>
        <v>62</v>
      </c>
      <c r="E106" s="36">
        <f t="shared" si="16"/>
        <v>0.23846153846153847</v>
      </c>
      <c r="F106" s="37" t="str">
        <f t="shared" si="17"/>
        <v>Medium Discount</v>
      </c>
      <c r="G106" s="35"/>
      <c r="H106" s="38"/>
      <c r="I106" s="37"/>
      <c r="J106" s="37" t="str">
        <f t="shared" si="18"/>
        <v>N/A</v>
      </c>
      <c r="K106" s="89" t="str">
        <f t="shared" si="19"/>
        <v>Medium Discount</v>
      </c>
    </row>
    <row r="107" spans="1:11" ht="23.9" customHeight="1" x14ac:dyDescent="0.35">
      <c r="A107" s="86" t="s">
        <v>154</v>
      </c>
      <c r="B107" s="30">
        <v>1150</v>
      </c>
      <c r="C107" s="30">
        <v>1737</v>
      </c>
      <c r="D107" s="30">
        <f t="shared" si="15"/>
        <v>587</v>
      </c>
      <c r="E107" s="31">
        <f t="shared" si="16"/>
        <v>0.3379389752446747</v>
      </c>
      <c r="F107" s="32" t="str">
        <f t="shared" si="17"/>
        <v>Medium Discount</v>
      </c>
      <c r="G107" s="30"/>
      <c r="H107" s="33"/>
      <c r="I107" s="32"/>
      <c r="J107" s="32" t="str">
        <f t="shared" si="18"/>
        <v>N/A</v>
      </c>
      <c r="K107" s="88" t="str">
        <f t="shared" si="19"/>
        <v>Medium Discount</v>
      </c>
    </row>
    <row r="108" spans="1:11" ht="23.9" customHeight="1" x14ac:dyDescent="0.35">
      <c r="A108" s="87" t="s">
        <v>155</v>
      </c>
      <c r="B108" s="35">
        <v>1190</v>
      </c>
      <c r="C108" s="35">
        <v>1810</v>
      </c>
      <c r="D108" s="35">
        <f t="shared" si="15"/>
        <v>620</v>
      </c>
      <c r="E108" s="36">
        <f t="shared" si="16"/>
        <v>0.34254143646408841</v>
      </c>
      <c r="F108" s="37" t="str">
        <f t="shared" si="17"/>
        <v>Medium Discount</v>
      </c>
      <c r="G108" s="35"/>
      <c r="H108" s="38"/>
      <c r="I108" s="37"/>
      <c r="J108" s="37" t="str">
        <f t="shared" si="18"/>
        <v>N/A</v>
      </c>
      <c r="K108" s="89" t="str">
        <f t="shared" si="19"/>
        <v>Medium Discount</v>
      </c>
    </row>
    <row r="109" spans="1:11" ht="23.9" customHeight="1" x14ac:dyDescent="0.35">
      <c r="A109" s="86" t="s">
        <v>156</v>
      </c>
      <c r="B109" s="30">
        <v>1658</v>
      </c>
      <c r="C109" s="30">
        <v>1699</v>
      </c>
      <c r="D109" s="30">
        <f t="shared" si="15"/>
        <v>41</v>
      </c>
      <c r="E109" s="31">
        <f t="shared" si="16"/>
        <v>2.4131842260153032E-2</v>
      </c>
      <c r="F109" s="32" t="str">
        <f t="shared" si="17"/>
        <v>Low Discount</v>
      </c>
      <c r="G109" s="30"/>
      <c r="H109" s="33"/>
      <c r="I109" s="32"/>
      <c r="J109" s="32" t="str">
        <f t="shared" si="18"/>
        <v>N/A</v>
      </c>
      <c r="K109" s="88" t="str">
        <f t="shared" si="19"/>
        <v>Low Discount</v>
      </c>
    </row>
    <row r="110" spans="1:11" ht="26" x14ac:dyDescent="0.35">
      <c r="A110" s="87" t="s">
        <v>157</v>
      </c>
      <c r="B110" s="35">
        <v>1768</v>
      </c>
      <c r="C110" s="35">
        <v>1799</v>
      </c>
      <c r="D110" s="35">
        <f t="shared" si="15"/>
        <v>31</v>
      </c>
      <c r="E110" s="36">
        <f t="shared" si="16"/>
        <v>1.7231795441912175E-2</v>
      </c>
      <c r="F110" s="37" t="str">
        <f t="shared" si="17"/>
        <v>Low Discount</v>
      </c>
      <c r="G110" s="35"/>
      <c r="H110" s="38"/>
      <c r="I110" s="37"/>
      <c r="J110" s="37" t="str">
        <f t="shared" si="18"/>
        <v>N/A</v>
      </c>
      <c r="K110" s="89" t="str">
        <f t="shared" si="19"/>
        <v>Low Discount</v>
      </c>
    </row>
    <row r="111" spans="1:11" ht="15" customHeight="1" x14ac:dyDescent="0.35">
      <c r="A111" s="86" t="s">
        <v>158</v>
      </c>
      <c r="B111" s="30">
        <v>199</v>
      </c>
      <c r="C111" s="30">
        <v>553</v>
      </c>
      <c r="D111" s="30">
        <f t="shared" si="15"/>
        <v>354</v>
      </c>
      <c r="E111" s="31">
        <f t="shared" si="16"/>
        <v>0.64014466546112114</v>
      </c>
      <c r="F111" s="32" t="str">
        <f t="shared" si="17"/>
        <v>High Discount</v>
      </c>
      <c r="G111" s="30"/>
      <c r="H111" s="33"/>
      <c r="I111" s="32"/>
      <c r="J111" s="32" t="str">
        <f t="shared" si="18"/>
        <v>N/A</v>
      </c>
      <c r="K111" s="88" t="str">
        <f t="shared" si="19"/>
        <v>High Discount</v>
      </c>
    </row>
    <row r="112" spans="1:11" ht="15" customHeight="1" x14ac:dyDescent="0.35">
      <c r="A112" s="93" t="s">
        <v>160</v>
      </c>
      <c r="B112" s="94">
        <v>169</v>
      </c>
      <c r="C112" s="94">
        <v>320</v>
      </c>
      <c r="D112" s="94">
        <f t="shared" si="15"/>
        <v>151</v>
      </c>
      <c r="E112" s="95">
        <f t="shared" si="16"/>
        <v>0.47187499999999999</v>
      </c>
      <c r="F112" s="96" t="str">
        <f t="shared" si="17"/>
        <v>High Discount</v>
      </c>
      <c r="G112" s="94"/>
      <c r="H112" s="97"/>
      <c r="I112" s="96"/>
      <c r="J112" s="96" t="str">
        <f t="shared" si="18"/>
        <v>N/A</v>
      </c>
      <c r="K112" s="98" t="str">
        <f t="shared" si="19"/>
        <v>High Discount</v>
      </c>
    </row>
  </sheetData>
  <conditionalFormatting sqref="E2:E112">
    <cfRule type="colorScale" priority="2">
      <colorScale>
        <cfvo type="min"/>
        <cfvo type="percentile" val="50"/>
        <cfvo type="max"/>
        <color rgb="FF63BE7B"/>
        <color rgb="FFFFEB84"/>
        <color rgb="FFF8696B"/>
      </colorScale>
    </cfRule>
  </conditionalFormatting>
  <conditionalFormatting sqref="H2:H112">
    <cfRule type="colorScale" priority="3">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3A047"/>
  </sheetPr>
  <dimension ref="B1:M89"/>
  <sheetViews>
    <sheetView showGridLines="0" topLeftCell="D32" zoomScaleNormal="100" workbookViewId="0">
      <selection activeCell="J5" sqref="J5:K6"/>
    </sheetView>
  </sheetViews>
  <sheetFormatPr defaultColWidth="8.6328125" defaultRowHeight="14.5" x14ac:dyDescent="0.35"/>
  <cols>
    <col min="1" max="1" width="2" customWidth="1"/>
    <col min="2" max="13" width="14" customWidth="1"/>
    <col min="14" max="14" width="2" customWidth="1"/>
  </cols>
  <sheetData>
    <row r="1" spans="2:13" ht="51.75" customHeight="1" x14ac:dyDescent="0.35">
      <c r="B1" s="134" t="s">
        <v>204</v>
      </c>
      <c r="C1" s="124"/>
      <c r="D1" s="124"/>
      <c r="E1" s="124"/>
      <c r="F1" s="124"/>
      <c r="G1" s="124"/>
      <c r="H1" s="124"/>
      <c r="I1" s="124"/>
      <c r="J1" s="124"/>
      <c r="K1" s="124"/>
      <c r="L1" s="124"/>
      <c r="M1" s="124"/>
    </row>
    <row r="2" spans="2:13" ht="18" customHeight="1" x14ac:dyDescent="0.35">
      <c r="B2" s="149"/>
      <c r="C2" s="124"/>
      <c r="D2" s="124"/>
      <c r="E2" s="124"/>
      <c r="F2" s="124"/>
      <c r="G2" s="124"/>
      <c r="H2" s="124"/>
      <c r="I2" s="124"/>
      <c r="J2" s="124"/>
      <c r="K2" s="124"/>
      <c r="L2" s="124"/>
      <c r="M2" s="124"/>
    </row>
    <row r="3" spans="2:13" ht="7.5" customHeight="1" x14ac:dyDescent="0.35"/>
    <row r="4" spans="2:13" ht="18" customHeight="1" x14ac:dyDescent="0.35">
      <c r="B4" s="146" t="s">
        <v>205</v>
      </c>
      <c r="C4" s="124"/>
      <c r="D4" s="142" t="s">
        <v>206</v>
      </c>
      <c r="E4" s="124"/>
      <c r="F4" s="148" t="s">
        <v>207</v>
      </c>
      <c r="G4" s="124"/>
      <c r="H4" s="152" t="s">
        <v>208</v>
      </c>
      <c r="I4" s="124"/>
      <c r="J4" s="140" t="s">
        <v>209</v>
      </c>
      <c r="K4" s="124"/>
      <c r="L4" s="141" t="s">
        <v>210</v>
      </c>
      <c r="M4" s="124"/>
    </row>
    <row r="5" spans="2:13" ht="18" customHeight="1" x14ac:dyDescent="0.35">
      <c r="B5" s="136">
        <f>COUNTA('Cleaned Data'!A2:A112)</f>
        <v>111</v>
      </c>
      <c r="C5" s="124"/>
      <c r="D5" s="137">
        <f>ROUND(AVERAGE('Cleaned Data'!B2:B112),0)</f>
        <v>1181</v>
      </c>
      <c r="E5" s="124"/>
      <c r="F5" s="132">
        <f>ROUND(AVERAGE('Cleaned Data'!E2:E112)*100,1)</f>
        <v>36.700000000000003</v>
      </c>
      <c r="G5" s="124"/>
      <c r="H5" s="138">
        <f>ROUND(AVERAGEIF('Cleaned Data'!H2:H112,"&lt;&gt;",'Cleaned Data'!H2:H112),2)</f>
        <v>3.88</v>
      </c>
      <c r="I5" s="124"/>
      <c r="J5" s="126">
        <f>SUM('Cleaned Data'!G2:G112)</f>
        <v>721</v>
      </c>
      <c r="K5" s="124"/>
      <c r="L5" s="144">
        <f>COUNTIF('Cleaned Data'!F2:F112,"High Discount")</f>
        <v>62</v>
      </c>
      <c r="M5" s="124"/>
    </row>
    <row r="6" spans="2:13" ht="18" customHeight="1" x14ac:dyDescent="0.35">
      <c r="B6" s="124"/>
      <c r="C6" s="124"/>
      <c r="D6" s="124"/>
      <c r="E6" s="124"/>
      <c r="F6" s="124"/>
      <c r="G6" s="124"/>
      <c r="H6" s="124"/>
      <c r="I6" s="124"/>
      <c r="J6" s="124"/>
      <c r="K6" s="124"/>
      <c r="L6" s="124"/>
      <c r="M6" s="124"/>
    </row>
    <row r="7" spans="2:13" ht="18" customHeight="1" x14ac:dyDescent="0.35">
      <c r="B7" s="151"/>
      <c r="C7" s="124"/>
      <c r="D7" s="128" t="s">
        <v>0</v>
      </c>
      <c r="E7" s="124"/>
      <c r="F7" s="135" t="s">
        <v>1</v>
      </c>
      <c r="G7" s="124"/>
      <c r="H7" s="129" t="s">
        <v>2</v>
      </c>
      <c r="I7" s="124"/>
      <c r="J7" s="130"/>
      <c r="K7" s="124"/>
      <c r="L7" s="150" t="s">
        <v>3</v>
      </c>
      <c r="M7" s="124"/>
    </row>
    <row r="8" spans="2:13" ht="18" customHeight="1" x14ac:dyDescent="0.35">
      <c r="B8" s="125"/>
      <c r="C8" s="124"/>
      <c r="D8" s="131"/>
      <c r="E8" s="124"/>
      <c r="F8" s="127"/>
      <c r="G8" s="124"/>
      <c r="H8" s="143"/>
      <c r="I8" s="124"/>
      <c r="J8" s="145"/>
      <c r="K8" s="124"/>
      <c r="L8" s="139"/>
      <c r="M8" s="124"/>
    </row>
    <row r="9" spans="2:13" ht="9.75" customHeight="1" x14ac:dyDescent="0.35"/>
    <row r="10" spans="2:13" ht="18" customHeight="1" x14ac:dyDescent="0.35">
      <c r="B10" s="153" t="s">
        <v>211</v>
      </c>
      <c r="C10" s="153"/>
      <c r="D10" s="153"/>
      <c r="E10" s="153"/>
      <c r="F10" s="153"/>
      <c r="H10" s="154" t="s">
        <v>212</v>
      </c>
      <c r="I10" s="154"/>
      <c r="J10" s="154"/>
      <c r="K10" s="154"/>
      <c r="L10" s="154"/>
    </row>
    <row r="11" spans="2:13" ht="18" customHeight="1" x14ac:dyDescent="0.35">
      <c r="B11" s="1" t="s">
        <v>4</v>
      </c>
      <c r="C11" s="1" t="s">
        <v>5</v>
      </c>
      <c r="D11" s="1" t="s">
        <v>6</v>
      </c>
      <c r="E11" s="1" t="s">
        <v>7</v>
      </c>
      <c r="F11" s="1" t="s">
        <v>8</v>
      </c>
      <c r="H11" s="1" t="s">
        <v>4</v>
      </c>
      <c r="I11" s="1" t="s">
        <v>5</v>
      </c>
      <c r="J11" s="1" t="s">
        <v>6</v>
      </c>
      <c r="K11" s="1" t="s">
        <v>9</v>
      </c>
      <c r="L11" s="1" t="s">
        <v>8</v>
      </c>
    </row>
    <row r="12" spans="2:13" ht="18" customHeight="1" x14ac:dyDescent="0.35">
      <c r="B12" s="2" t="s">
        <v>10</v>
      </c>
      <c r="C12" s="3">
        <f>COUNTIF('Cleaned Data'!$J$2:$J$112,"Excellent")</f>
        <v>22</v>
      </c>
      <c r="D12" s="3">
        <f>AVERAGEIF('Cleaned Data'!$J$2:$J$112,"Excellent",'Cleaned Data'!$B$2:$B$112)</f>
        <v>1381.090909090909</v>
      </c>
      <c r="E12" s="4">
        <f>AVERAGEIF('Cleaned Data'!$J$2:$J$112,"Excellent",'Cleaned Data'!$E$2:$E$112)</f>
        <v>0.37499008128743339</v>
      </c>
      <c r="F12" s="5">
        <f>AVERAGEIF('Cleaned Data'!$J$2:$J$112,"Excellent",'Cleaned Data'!$G$2:$G$112)</f>
        <v>14.954545454545455</v>
      </c>
      <c r="H12" s="6" t="s">
        <v>11</v>
      </c>
      <c r="I12" s="3">
        <f>COUNTIF('Cleaned Data'!$F$2:$F$112,"High Discount")</f>
        <v>62</v>
      </c>
      <c r="J12" s="3">
        <f>AVERAGEIF('Cleaned Data'!$F$2:$F$112,"High Discount",'Cleaned Data'!$B$2:$B$112)</f>
        <v>756.41935483870964</v>
      </c>
      <c r="K12" s="7">
        <f>AVERAGEIF('Cleaned Data'!$F$2:$F$112,"High Discount",'Cleaned Data'!$H$2:$H$112)</f>
        <v>3.613333333333332</v>
      </c>
      <c r="L12" s="5">
        <f>AVERAGEIF('Cleaned Data'!$F$2:$F$112,"High Discount",'Cleaned Data'!$G$2:$G$112)</f>
        <v>11.133333333333333</v>
      </c>
    </row>
    <row r="13" spans="2:13" ht="18" customHeight="1" x14ac:dyDescent="0.35">
      <c r="B13" s="8" t="s">
        <v>12</v>
      </c>
      <c r="C13" s="9">
        <f>COUNTIF('Cleaned Data'!$J$2:$J$112,"Average")</f>
        <v>22</v>
      </c>
      <c r="D13" s="9">
        <f>AVERAGEIF('Cleaned Data'!$J$2:$J$112,"Average",'Cleaned Data'!$B$2:$B$112)</f>
        <v>1369.409090909091</v>
      </c>
      <c r="E13" s="10">
        <f>AVERAGEIF('Cleaned Data'!$J$2:$J$112,"Average",'Cleaned Data'!$E$2:$E$112)</f>
        <v>0.38033103770385124</v>
      </c>
      <c r="F13" s="11">
        <f>AVERAGEIF('Cleaned Data'!$J$2:$J$112,"Average",'Cleaned Data'!$G$2:$G$112)</f>
        <v>10.136363636363637</v>
      </c>
      <c r="H13" s="12" t="s">
        <v>13</v>
      </c>
      <c r="I13" s="9">
        <f>COUNTIF('Cleaned Data'!$F$2:$F$112,"Medium Discount")</f>
        <v>31</v>
      </c>
      <c r="J13" s="9">
        <f>AVERAGEIF('Cleaned Data'!$F$2:$F$112,"Medium Discount",'Cleaned Data'!$B$2:$B$112)</f>
        <v>1579.6451612903227</v>
      </c>
      <c r="K13" s="13">
        <f>AVERAGEIF('Cleaned Data'!$F$2:$F$112,"Medium Discount",'Cleaned Data'!$H$2:$H$112)</f>
        <v>4.2681818181818176</v>
      </c>
      <c r="L13" s="11">
        <f>AVERAGEIF('Cleaned Data'!$F$2:$F$112,"Medium Discount",'Cleaned Data'!$G$2:$G$112)</f>
        <v>15.863636363636363</v>
      </c>
    </row>
    <row r="14" spans="2:13" ht="18" customHeight="1" x14ac:dyDescent="0.35">
      <c r="B14" s="14" t="s">
        <v>14</v>
      </c>
      <c r="C14" s="3">
        <f>COUNTIF('Cleaned Data'!$J$2:$J$112,"Poor")</f>
        <v>12</v>
      </c>
      <c r="D14" s="3">
        <f>AVERAGEIF('Cleaned Data'!$J$2:$J$112,"Poor",'Cleaned Data'!$B$2:$B$112)</f>
        <v>998.33333333333337</v>
      </c>
      <c r="E14" s="4">
        <f>AVERAGEIF('Cleaned Data'!$J$2:$J$112,"Poor",'Cleaned Data'!$E$2:$E$112)</f>
        <v>0.43217789384947219</v>
      </c>
      <c r="F14" s="5">
        <f>AVERAGEIF('Cleaned Data'!$J$2:$J$112,"Poor",'Cleaned Data'!$G$2:$G$112)</f>
        <v>14.083333333333334</v>
      </c>
      <c r="H14" s="15" t="s">
        <v>15</v>
      </c>
      <c r="I14" s="3">
        <f>COUNTIF('Cleaned Data'!$F$2:$F$112,"Low Discount")</f>
        <v>18</v>
      </c>
      <c r="J14" s="3">
        <f>AVERAGEIF('Cleaned Data'!$F$2:$F$112,"Low Discount",'Cleaned Data'!$B$2:$B$112)</f>
        <v>1959.1666666666667</v>
      </c>
      <c r="K14" s="7">
        <f>AVERAGEIF('Cleaned Data'!$F$2:$F$112,"Low Discount",'Cleaned Data'!$H$2:$H$112)</f>
        <v>3.7249999999999996</v>
      </c>
      <c r="L14" s="5">
        <f>AVERAGEIF('Cleaned Data'!$F$2:$F$112,"Low Discount",'Cleaned Data'!$G$2:$G$112)</f>
        <v>9.5</v>
      </c>
    </row>
    <row r="15" spans="2:13" ht="18" customHeight="1" x14ac:dyDescent="0.35">
      <c r="B15" s="16" t="s">
        <v>16</v>
      </c>
      <c r="C15" s="9">
        <f>COUNTIF('Cleaned Data'!$J$2:$J$112,"N/A")</f>
        <v>55</v>
      </c>
      <c r="D15" s="9">
        <f>AVERAGEIF('Cleaned Data'!$J$2:$J$112,"N/A",'Cleaned Data'!$B$2:$B$112)</f>
        <v>1066.2</v>
      </c>
      <c r="E15" s="10">
        <f>AVERAGEIF('Cleaned Data'!$J$2:$J$112,"N/A",'Cleaned Data'!$E$2:$E$112)</f>
        <v>0.345150642993234</v>
      </c>
      <c r="F15" s="11" t="str">
        <f>IFERROR(AVERAGEIF('Cleaned Data'!$J$2:$J$112,"N/A",'Cleaned Data'!$G$2:$G$112),"N/A")</f>
        <v>N/A</v>
      </c>
    </row>
    <row r="16" spans="2:13" ht="18" customHeight="1" x14ac:dyDescent="0.35"/>
    <row r="17" spans="2:10" ht="18" customHeight="1" x14ac:dyDescent="0.35">
      <c r="B17" s="147" t="s">
        <v>213</v>
      </c>
      <c r="C17" s="147"/>
      <c r="D17" s="147"/>
      <c r="E17" s="147"/>
      <c r="G17" s="133" t="s">
        <v>214</v>
      </c>
      <c r="H17" s="133"/>
      <c r="I17" s="133"/>
      <c r="J17" s="133"/>
    </row>
    <row r="18" spans="2:10" ht="18" customHeight="1" x14ac:dyDescent="0.35">
      <c r="B18" s="17" t="s">
        <v>17</v>
      </c>
      <c r="C18" s="17" t="s">
        <v>11</v>
      </c>
      <c r="D18" s="17" t="s">
        <v>15</v>
      </c>
      <c r="E18" s="17" t="s">
        <v>18</v>
      </c>
      <c r="G18" s="1" t="s">
        <v>20</v>
      </c>
      <c r="H18" s="1" t="s">
        <v>5</v>
      </c>
      <c r="I18" s="1" t="s">
        <v>8</v>
      </c>
      <c r="J18" s="1" t="s">
        <v>9</v>
      </c>
    </row>
    <row r="19" spans="2:10" ht="18" customHeight="1" x14ac:dyDescent="0.35">
      <c r="B19" s="18" t="s">
        <v>5</v>
      </c>
      <c r="C19" s="9">
        <f>COUNTIF('Cleaned Data'!$F$2:$F$112,"High Discount")</f>
        <v>62</v>
      </c>
      <c r="D19" s="9">
        <f>COUNTIF('Cleaned Data'!$F$2:$F$112,"Low Discount")</f>
        <v>18</v>
      </c>
      <c r="E19" s="9">
        <f>C19-D19</f>
        <v>44</v>
      </c>
      <c r="G19" s="20" t="s">
        <v>21</v>
      </c>
      <c r="H19" s="21">
        <f>COUNTIFS('Cleaned Data'!$E$2:$E$112,"&gt;=0",'Cleaned Data'!$E$2:$E$112,"&lt;0.2")</f>
        <v>18</v>
      </c>
      <c r="I19" s="22">
        <f>AVERAGEIFS('Cleaned Data'!$G$2:$G$112,'Cleaned Data'!$E$2:$E$112,"&gt;=0",'Cleaned Data'!$E$2:$E$112,"&lt;0.2")</f>
        <v>9.5</v>
      </c>
      <c r="J19" s="23">
        <f>AVERAGEIFS('Cleaned Data'!$H$2:$H$112,'Cleaned Data'!$E$2:$E$112,"&gt;=0",'Cleaned Data'!$E$2:$E$112,"&lt;0.2")</f>
        <v>3.7249999999999996</v>
      </c>
    </row>
    <row r="20" spans="2:10" ht="18" customHeight="1" x14ac:dyDescent="0.35">
      <c r="B20" s="19" t="s">
        <v>6</v>
      </c>
      <c r="C20" s="3">
        <f>AVERAGEIF('Cleaned Data'!$F$2:$F$112,"High Discount",'Cleaned Data'!$B$2:$B$112)</f>
        <v>756.41935483870964</v>
      </c>
      <c r="D20" s="3">
        <f>AVERAGEIF('Cleaned Data'!$F$2:$F$112,"Low Discount",'Cleaned Data'!$B$2:$B$112)</f>
        <v>1959.1666666666667</v>
      </c>
      <c r="E20" s="3">
        <f>C20-D20</f>
        <v>-1202.7473118279572</v>
      </c>
      <c r="G20" s="24" t="s">
        <v>22</v>
      </c>
      <c r="H20" s="25">
        <f>COUNTIFS('Cleaned Data'!$E$2:$E$112,"&gt;=0.2",'Cleaned Data'!$E$2:$E$112,"&lt;0.3")</f>
        <v>14</v>
      </c>
      <c r="I20" s="26">
        <f>AVERAGEIFS('Cleaned Data'!$G$2:$G$112,'Cleaned Data'!$E$2:$E$112,"&gt;=0.2",'Cleaned Data'!$E$2:$E$112,"&lt;0.3")</f>
        <v>18.545454545454547</v>
      </c>
      <c r="J20" s="27">
        <f>AVERAGEIFS('Cleaned Data'!$H$2:$H$112,'Cleaned Data'!$E$2:$E$112,"&gt;=0.2",'Cleaned Data'!$E$2:$E$112,"&lt;0.3")</f>
        <v>4.245454545454546</v>
      </c>
    </row>
    <row r="21" spans="2:10" ht="18" customHeight="1" x14ac:dyDescent="0.35">
      <c r="B21" s="18" t="s">
        <v>19</v>
      </c>
      <c r="C21" s="10">
        <f>AVERAGEIF('Cleaned Data'!$F$2:$F$112,"High Discount",'Cleaned Data'!$E$2:$E$112)</f>
        <v>0.4831780916641652</v>
      </c>
      <c r="D21" s="10">
        <f>AVERAGEIF('Cleaned Data'!$F$2:$F$112,"Low Discount",'Cleaned Data'!$E$2:$E$112)</f>
        <v>7.227592305560436E-2</v>
      </c>
      <c r="E21" s="10">
        <f>C21-D21</f>
        <v>0.41090216860856082</v>
      </c>
      <c r="G21" s="20" t="s">
        <v>23</v>
      </c>
      <c r="H21" s="21">
        <f>COUNTIFS('Cleaned Data'!$E$2:$E$112,"&gt;=0.3",'Cleaned Data'!$E$2:$E$112,"&lt;0.4")</f>
        <v>17</v>
      </c>
      <c r="I21" s="22">
        <f>AVERAGEIFS('Cleaned Data'!$G$2:$G$112,'Cleaned Data'!$E$2:$E$112,"&gt;=0.3",'Cleaned Data'!$E$2:$E$112,"&lt;0.4")</f>
        <v>13.181818181818182</v>
      </c>
      <c r="J21" s="23">
        <f>AVERAGEIFS('Cleaned Data'!$H$2:$H$112,'Cleaned Data'!$E$2:$E$112,"&gt;=0.3",'Cleaned Data'!$E$2:$E$112,"&lt;0.4")</f>
        <v>4.2909090909090901</v>
      </c>
    </row>
    <row r="22" spans="2:10" ht="18" customHeight="1" x14ac:dyDescent="0.35">
      <c r="B22" s="19" t="s">
        <v>9</v>
      </c>
      <c r="C22" s="7">
        <f>AVERAGEIF('Cleaned Data'!$F$2:$F$112,"High Discount",'Cleaned Data'!$H$2:$H$112)</f>
        <v>3.613333333333332</v>
      </c>
      <c r="D22" s="7">
        <f>AVERAGEIF('Cleaned Data'!$F$2:$F$112,"Low Discount",'Cleaned Data'!$H$2:$H$112)</f>
        <v>3.7249999999999996</v>
      </c>
      <c r="E22" s="7">
        <f>C22-D22</f>
        <v>-0.11166666666666769</v>
      </c>
      <c r="G22" s="24" t="s">
        <v>24</v>
      </c>
      <c r="H22" s="25">
        <f>COUNTIFS('Cleaned Data'!$E$2:$E$112,"&gt;=0.4",'Cleaned Data'!$E$2:$E$112,"&lt;0.5")</f>
        <v>43</v>
      </c>
      <c r="I22" s="26">
        <f>AVERAGEIFS('Cleaned Data'!$G$2:$G$112,'Cleaned Data'!$E$2:$E$112,"&gt;=0.4",'Cleaned Data'!$E$2:$E$112,"&lt;0.5")</f>
        <v>13.157894736842104</v>
      </c>
      <c r="J22" s="27">
        <f>AVERAGEIFS('Cleaned Data'!$H$2:$H$112,'Cleaned Data'!$E$2:$E$112,"&gt;=0.4",'Cleaned Data'!$E$2:$E$112,"&lt;0.5")</f>
        <v>3.6631578947368411</v>
      </c>
    </row>
    <row r="23" spans="2:10" ht="18" customHeight="1" x14ac:dyDescent="0.35">
      <c r="B23" s="18" t="s">
        <v>8</v>
      </c>
      <c r="C23" s="11">
        <f>AVERAGEIF('Cleaned Data'!$F$2:$F$112,"High Discount",'Cleaned Data'!$G$2:$G$112)</f>
        <v>11.133333333333333</v>
      </c>
      <c r="D23" s="11">
        <f>AVERAGEIF('Cleaned Data'!$F$2:$F$112,"Low Discount",'Cleaned Data'!$G$2:$G$112)</f>
        <v>9.5</v>
      </c>
      <c r="E23" s="11">
        <f>C23-D23</f>
        <v>1.6333333333333329</v>
      </c>
      <c r="G23" s="20" t="s">
        <v>25</v>
      </c>
      <c r="H23" s="21">
        <f>COUNTIFS('Cleaned Data'!$E$2:$E$112,"&gt;=0.5",'Cleaned Data'!$E$2:$E$112,"&lt;1.0")</f>
        <v>19</v>
      </c>
      <c r="I23" s="22">
        <f>AVERAGEIFS('Cleaned Data'!$G$2:$G$112,'Cleaned Data'!$E$2:$E$112,"&gt;=0.5",'Cleaned Data'!$E$2:$E$112,"&lt;1.0")</f>
        <v>7.6363636363636367</v>
      </c>
      <c r="J23" s="23">
        <f>AVERAGEIFS('Cleaned Data'!$H$2:$H$112,'Cleaned Data'!$E$2:$E$112,"&gt;=0.5",'Cleaned Data'!$E$2:$E$112,"&lt;1.0")</f>
        <v>3.5272727272727278</v>
      </c>
    </row>
    <row r="24" spans="2:10" ht="18" customHeight="1" x14ac:dyDescent="0.35"/>
    <row r="25" spans="2:10" ht="18" customHeight="1" x14ac:dyDescent="0.35"/>
    <row r="26" spans="2:10" ht="18" customHeight="1" x14ac:dyDescent="0.35"/>
    <row r="27" spans="2:10" ht="18" customHeight="1" x14ac:dyDescent="0.35"/>
    <row r="28" spans="2:10" ht="18" customHeight="1" x14ac:dyDescent="0.35"/>
    <row r="29" spans="2:10" ht="18" customHeight="1" x14ac:dyDescent="0.35"/>
    <row r="30" spans="2:10" ht="18" customHeight="1" x14ac:dyDescent="0.35"/>
    <row r="31" spans="2:10" ht="18" customHeight="1" x14ac:dyDescent="0.35"/>
    <row r="32" spans="2:10"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spans="2:13" ht="18" customHeight="1" x14ac:dyDescent="0.35"/>
    <row r="66" spans="2:13" ht="18" customHeight="1" x14ac:dyDescent="0.35"/>
    <row r="67" spans="2:13" ht="18" customHeight="1" x14ac:dyDescent="0.35"/>
    <row r="68" spans="2:13" ht="30" customHeight="1" x14ac:dyDescent="0.35">
      <c r="B68" s="123"/>
      <c r="C68" s="124"/>
      <c r="D68" s="124"/>
      <c r="E68" s="124"/>
      <c r="F68" s="124"/>
      <c r="G68" s="124"/>
      <c r="H68" s="124"/>
      <c r="I68" s="124"/>
      <c r="J68" s="124"/>
      <c r="K68" s="124"/>
      <c r="L68" s="124"/>
      <c r="M68" s="124"/>
    </row>
    <row r="69" spans="2:13" ht="18" customHeight="1" x14ac:dyDescent="0.35"/>
    <row r="70" spans="2:13" ht="18" customHeight="1" x14ac:dyDescent="0.35"/>
    <row r="71" spans="2:13" ht="18" customHeight="1" x14ac:dyDescent="0.35"/>
    <row r="72" spans="2:13" ht="18" customHeight="1" x14ac:dyDescent="0.35"/>
    <row r="73" spans="2:13" ht="18" customHeight="1" x14ac:dyDescent="0.35"/>
    <row r="74" spans="2:13" ht="18" customHeight="1" x14ac:dyDescent="0.35"/>
    <row r="75" spans="2:13" ht="18" customHeight="1" x14ac:dyDescent="0.35"/>
    <row r="76" spans="2:13" ht="18" customHeight="1" x14ac:dyDescent="0.35"/>
    <row r="77" spans="2:13" ht="18" customHeight="1" x14ac:dyDescent="0.35"/>
    <row r="78" spans="2:13" ht="18" customHeight="1" x14ac:dyDescent="0.35"/>
    <row r="79" spans="2:13" ht="18" customHeight="1" x14ac:dyDescent="0.35"/>
    <row r="80" spans="2:13"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sheetData>
  <mergeCells count="31">
    <mergeCell ref="B1:M1"/>
    <mergeCell ref="F7:G7"/>
    <mergeCell ref="B5:C6"/>
    <mergeCell ref="D5:E6"/>
    <mergeCell ref="H5:I6"/>
    <mergeCell ref="J4:K4"/>
    <mergeCell ref="L4:M4"/>
    <mergeCell ref="D4:E4"/>
    <mergeCell ref="L5:M6"/>
    <mergeCell ref="B4:C4"/>
    <mergeCell ref="F4:G4"/>
    <mergeCell ref="B2:M2"/>
    <mergeCell ref="L7:M7"/>
    <mergeCell ref="B7:C7"/>
    <mergeCell ref="H4:I4"/>
    <mergeCell ref="B68:M68"/>
    <mergeCell ref="B8:C8"/>
    <mergeCell ref="J5:K6"/>
    <mergeCell ref="F8:G8"/>
    <mergeCell ref="D7:E7"/>
    <mergeCell ref="H7:I7"/>
    <mergeCell ref="J7:K7"/>
    <mergeCell ref="D8:E8"/>
    <mergeCell ref="F5:G6"/>
    <mergeCell ref="G17:J17"/>
    <mergeCell ref="L8:M8"/>
    <mergeCell ref="H8:I8"/>
    <mergeCell ref="J8:K8"/>
    <mergeCell ref="B17:E17"/>
    <mergeCell ref="B10:F10"/>
    <mergeCell ref="H10:L10"/>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91E63"/>
  </sheetPr>
  <dimension ref="B1:O36"/>
  <sheetViews>
    <sheetView showGridLines="0" topLeftCell="B4" workbookViewId="0">
      <selection activeCell="O17" sqref="O17"/>
    </sheetView>
  </sheetViews>
  <sheetFormatPr defaultRowHeight="14.5" x14ac:dyDescent="0.35"/>
  <cols>
    <col min="1" max="1" width="2" customWidth="1"/>
    <col min="2" max="2" width="22" customWidth="1"/>
    <col min="3" max="6" width="14" customWidth="1"/>
    <col min="7" max="7" width="12.36328125" customWidth="1"/>
    <col min="8" max="8" width="13.1796875" customWidth="1"/>
    <col min="9" max="9" width="22" customWidth="1"/>
    <col min="10" max="13" width="14" customWidth="1"/>
    <col min="14" max="14" width="9.90625" customWidth="1"/>
  </cols>
  <sheetData>
    <row r="1" spans="2:15" ht="36" customHeight="1" x14ac:dyDescent="0.35">
      <c r="B1" s="155" t="s">
        <v>225</v>
      </c>
      <c r="C1" s="124"/>
      <c r="D1" s="124"/>
      <c r="E1" s="124"/>
      <c r="F1" s="124"/>
      <c r="G1" s="124"/>
      <c r="H1" s="124"/>
      <c r="I1" s="124"/>
      <c r="J1" s="124"/>
      <c r="K1" s="124"/>
      <c r="L1" s="124"/>
      <c r="M1" s="124"/>
    </row>
    <row r="2" spans="2:15" ht="20" customHeight="1" x14ac:dyDescent="0.35">
      <c r="B2" s="158"/>
      <c r="C2" s="124"/>
      <c r="D2" s="124"/>
      <c r="E2" s="124"/>
      <c r="F2" s="124"/>
      <c r="G2" s="124"/>
      <c r="H2" s="124"/>
      <c r="I2" s="124"/>
      <c r="J2" s="124"/>
      <c r="K2" s="124"/>
      <c r="L2" s="124"/>
      <c r="M2" s="124"/>
    </row>
    <row r="3" spans="2:15" ht="24" customHeight="1" x14ac:dyDescent="0.35">
      <c r="B3" s="160" t="s">
        <v>215</v>
      </c>
      <c r="C3" s="124"/>
      <c r="D3" s="124"/>
      <c r="E3" s="124"/>
      <c r="F3" s="124"/>
      <c r="I3" s="159" t="s">
        <v>216</v>
      </c>
      <c r="J3" s="124"/>
      <c r="K3" s="124"/>
      <c r="L3" s="124"/>
      <c r="M3" s="124"/>
    </row>
    <row r="4" spans="2:15" ht="22" customHeight="1" x14ac:dyDescent="0.35">
      <c r="B4" s="63" t="s">
        <v>26</v>
      </c>
      <c r="C4" s="63" t="s">
        <v>27</v>
      </c>
      <c r="D4" s="63" t="s">
        <v>6</v>
      </c>
      <c r="E4" s="63" t="s">
        <v>9</v>
      </c>
      <c r="F4" s="63" t="s">
        <v>8</v>
      </c>
      <c r="I4" s="63" t="s">
        <v>28</v>
      </c>
      <c r="J4" s="63" t="s">
        <v>27</v>
      </c>
      <c r="K4" s="63" t="s">
        <v>6</v>
      </c>
      <c r="L4" s="63" t="s">
        <v>7</v>
      </c>
      <c r="M4" s="63" t="s">
        <v>8</v>
      </c>
    </row>
    <row r="5" spans="2:15" ht="20" customHeight="1" x14ac:dyDescent="0.35">
      <c r="B5" s="64" t="s">
        <v>11</v>
      </c>
      <c r="C5" s="65">
        <f>GETPIVOTDATA("Sum of # Products",'Discount Pivot'!$A$3,"Discount Category","High Discount")</f>
        <v>62</v>
      </c>
      <c r="D5" s="65">
        <f>AVERAGEIF(PivotSource!$F$2:$F$112,"High Discount",PivotSource!$B$2:$B$112)</f>
        <v>756.41935483870964</v>
      </c>
      <c r="E5" s="66">
        <f>AVERAGEIF(PivotSource!$F$2:$F$112,"High Discount",PivotSource!$H$2:$H$112)</f>
        <v>3.6133333333333324</v>
      </c>
      <c r="F5" s="67">
        <f>AVERAGEIF(PivotSource!$F$2:$F$112,"High Discount",PivotSource!$G$2:$G$112)</f>
        <v>11.133333333333333</v>
      </c>
      <c r="I5" s="68" t="s">
        <v>10</v>
      </c>
      <c r="J5" s="65">
        <f>COUNTIF(PivotSource!$J$2:$J$112,"Excellent")</f>
        <v>22</v>
      </c>
      <c r="K5" s="65">
        <f>AVERAGEIF(PivotSource!$J$2:$J$112,"Excellent",PivotSource!$B$2:$B$112)</f>
        <v>1381.090909090909</v>
      </c>
      <c r="L5" s="69">
        <f>AVERAGEIF(PivotSource!$J$2:$J$112,"Excellent",PivotSource!$E$2:$E$112)</f>
        <v>0.37499008128743339</v>
      </c>
      <c r="M5" s="67">
        <f>AVERAGEIF(PivotSource!$J$2:$J$112,"Excellent",PivotSource!$G$2:$G$112)</f>
        <v>14.954545454545455</v>
      </c>
    </row>
    <row r="6" spans="2:15" ht="20" customHeight="1" x14ac:dyDescent="0.35">
      <c r="B6" s="70" t="s">
        <v>13</v>
      </c>
      <c r="C6" s="65">
        <f>GETPIVOTDATA("Sum of # Products",'Discount Pivot'!$A$3,"Discount Category","Medium Discount")</f>
        <v>31</v>
      </c>
      <c r="D6" s="71">
        <f>AVERAGEIF(PivotSource!$F$2:$F$112,"Medium Discount",PivotSource!$B$2:$B$112)</f>
        <v>1579.6451612903227</v>
      </c>
      <c r="E6" s="72">
        <f>AVERAGEIF(PivotSource!$F$2:$F$112,"Medium Discount",PivotSource!$H$2:$H$112)</f>
        <v>4.2681818181818194</v>
      </c>
      <c r="F6" s="73">
        <f>AVERAGEIF(PivotSource!$F$2:$F$112,"Medium Discount",PivotSource!$G$2:$G$112)</f>
        <v>15.863636363636363</v>
      </c>
      <c r="I6" s="74" t="s">
        <v>12</v>
      </c>
      <c r="J6" s="71">
        <f>COUNTIF(PivotSource!$J$2:$J$112,"Average")</f>
        <v>22</v>
      </c>
      <c r="K6" s="71">
        <f>AVERAGEIF(PivotSource!$J$2:$J$112,"Average",PivotSource!$B$2:$B$112)</f>
        <v>1369.409090909091</v>
      </c>
      <c r="L6" s="75">
        <f>AVERAGEIF(PivotSource!$J$2:$J$112,"Average",PivotSource!$E$2:$E$112)</f>
        <v>0.38033103770385124</v>
      </c>
      <c r="M6" s="73">
        <f>AVERAGEIF(PivotSource!$J$2:$J$112,"Average",PivotSource!$G$2:$G$112)</f>
        <v>10.136363636363637</v>
      </c>
    </row>
    <row r="7" spans="2:15" ht="20" customHeight="1" x14ac:dyDescent="0.35">
      <c r="B7" s="76" t="s">
        <v>15</v>
      </c>
      <c r="C7" s="65">
        <f>GETPIVOTDATA("Sum of # Products",'Discount Pivot'!$A$3,"Discount Category","Low Discount")</f>
        <v>18</v>
      </c>
      <c r="D7" s="65">
        <f>AVERAGEIF(PivotSource!$F$2:$F$112,"Low Discount",PivotSource!$B$2:$B$112)</f>
        <v>1959.1666666666667</v>
      </c>
      <c r="E7" s="66">
        <f>AVERAGEIF(PivotSource!$F$2:$F$112,"Low Discount",PivotSource!$H$2:$H$112)</f>
        <v>3.7249999999999996</v>
      </c>
      <c r="F7" s="67">
        <f>AVERAGEIF(PivotSource!$F$2:$F$112,"Low Discount",PivotSource!$G$2:$G$112)</f>
        <v>9.5</v>
      </c>
      <c r="I7" s="77" t="s">
        <v>14</v>
      </c>
      <c r="J7" s="65">
        <f>COUNTIF(PivotSource!$J$2:$J$112,"Poor")</f>
        <v>12</v>
      </c>
      <c r="K7" s="65">
        <f>AVERAGEIF(PivotSource!$J$2:$J$112,"Poor",PivotSource!$B$2:$B$112)</f>
        <v>998.33333333333337</v>
      </c>
      <c r="L7" s="69">
        <f>AVERAGEIF(PivotSource!$J$2:$J$112,"Poor",PivotSource!$E$2:$E$112)</f>
        <v>0.43217789384947208</v>
      </c>
      <c r="M7" s="67">
        <f>AVERAGEIF(PivotSource!$J$2:$J$112,"Poor",PivotSource!$G$2:$G$112)</f>
        <v>14.083333333333334</v>
      </c>
    </row>
    <row r="8" spans="2:15" ht="20" customHeight="1" x14ac:dyDescent="0.35">
      <c r="B8" s="78" t="s">
        <v>29</v>
      </c>
      <c r="C8" s="71">
        <f>SUM(C5:C7)</f>
        <v>111</v>
      </c>
      <c r="D8" s="71">
        <f>AVERAGE(PivotSource!$B$2:$B$112)</f>
        <v>1181.3693693693695</v>
      </c>
      <c r="E8" s="72">
        <f>AVERAGEIF(PivotSource!$H$2:$H$112,"&lt;&gt;",PivotSource!$H$2:$H$112)</f>
        <v>3.8785714285714277</v>
      </c>
      <c r="F8" s="73">
        <f>AVERAGEIF(PivotSource!$G$2:$G$112,"&lt;&gt;",PivotSource!$G$2:$G$112)</f>
        <v>12.875</v>
      </c>
      <c r="I8" s="79" t="s">
        <v>30</v>
      </c>
      <c r="J8" s="71">
        <f>COUNTIF(PivotSource!$J$2:$J$112,"N/A")</f>
        <v>55</v>
      </c>
      <c r="K8" s="71">
        <f>AVERAGEIF(PivotSource!$J$2:$J$112,"N/A",PivotSource!$B$2:$B$112)</f>
        <v>1066.2</v>
      </c>
      <c r="L8" s="75" t="s">
        <v>31</v>
      </c>
      <c r="M8" s="73" t="s">
        <v>31</v>
      </c>
    </row>
    <row r="9" spans="2:15" ht="20" customHeight="1" x14ac:dyDescent="0.35">
      <c r="I9" s="78" t="s">
        <v>29</v>
      </c>
      <c r="J9" s="65">
        <f>SUM(J5:J8)</f>
        <v>111</v>
      </c>
      <c r="K9" s="65">
        <f>AVERAGE(PivotSource!$B$2:$B$112)</f>
        <v>1181.3693693693695</v>
      </c>
      <c r="L9" s="69">
        <f>AVERAGE(PivotSource!$E$2:$E$112)</f>
        <v>0.36744580818585404</v>
      </c>
      <c r="M9" s="67">
        <f>AVERAGEIF(PivotSource!$G$2:$G$112,"&lt;&gt;",PivotSource!$G$2:$G$112)</f>
        <v>12.875</v>
      </c>
    </row>
    <row r="11" spans="2:15" ht="24" customHeight="1" x14ac:dyDescent="0.35">
      <c r="B11" s="156" t="s">
        <v>217</v>
      </c>
      <c r="C11" s="156"/>
      <c r="D11" s="156"/>
      <c r="E11" s="156"/>
      <c r="F11" s="156"/>
      <c r="G11" s="156"/>
      <c r="H11" s="156"/>
      <c r="I11" s="156"/>
      <c r="K11" s="157" t="s">
        <v>218</v>
      </c>
      <c r="L11" s="157"/>
      <c r="M11" s="157"/>
      <c r="N11" s="157"/>
      <c r="O11" s="157"/>
    </row>
    <row r="12" spans="2:15" ht="22" customHeight="1" x14ac:dyDescent="0.35">
      <c r="B12" s="63" t="s">
        <v>20</v>
      </c>
      <c r="C12" s="63" t="s">
        <v>32</v>
      </c>
      <c r="D12" s="63" t="s">
        <v>33</v>
      </c>
      <c r="E12" s="63" t="s">
        <v>5</v>
      </c>
      <c r="F12" s="63" t="s">
        <v>34</v>
      </c>
      <c r="G12" s="63" t="s">
        <v>35</v>
      </c>
      <c r="H12" s="63" t="s">
        <v>8</v>
      </c>
      <c r="I12" s="63" t="s">
        <v>9</v>
      </c>
      <c r="K12" s="63" t="s">
        <v>39</v>
      </c>
      <c r="L12" s="63" t="s">
        <v>11</v>
      </c>
      <c r="M12" s="63" t="s">
        <v>13</v>
      </c>
      <c r="N12" s="63" t="s">
        <v>15</v>
      </c>
      <c r="O12" s="63" t="s">
        <v>40</v>
      </c>
    </row>
    <row r="13" spans="2:15" ht="20" customHeight="1" x14ac:dyDescent="0.35">
      <c r="B13" s="80" t="s">
        <v>21</v>
      </c>
      <c r="C13" s="69">
        <v>0</v>
      </c>
      <c r="D13" s="69">
        <v>0.2</v>
      </c>
      <c r="E13" s="65">
        <f>COUNTIFS(PivotSource!$E$2:$E$112,"&gt;=0",PivotSource!$E$2:$E$112,"&lt;0.2")</f>
        <v>18</v>
      </c>
      <c r="F13" s="65">
        <f>AVERAGEIFS(PivotSource!$B$2:$B$112,PivotSource!$E$2:$E$112,"&gt;=0",PivotSource!$E$2:$E$112,"&lt;0.2")</f>
        <v>1959.1666666666667</v>
      </c>
      <c r="G13" s="69">
        <f>AVERAGEIFS(PivotSource!$E$2:$E$112,PivotSource!$E$2:$E$112,"&gt;=0",PivotSource!$E$2:$E$112,"&lt;0.2")</f>
        <v>7.2275923055604346E-2</v>
      </c>
      <c r="H13" s="67">
        <f>AVERAGEIFS(PivotSource!$G$2:$G$112,PivotSource!$E$2:$E$112,"&gt;=0",PivotSource!$E$2:$E$112,"&lt;0.2")</f>
        <v>9.5</v>
      </c>
      <c r="I13" s="66">
        <f>AVERAGEIFS(PivotSource!$H$2:$H$112,PivotSource!$E$2:$E$112,"&gt;=0",PivotSource!$E$2:$E$112,"&lt;0.2")</f>
        <v>3.7249999999999996</v>
      </c>
      <c r="K13" s="68" t="s">
        <v>10</v>
      </c>
      <c r="L13" s="71">
        <f>COUNTIFS(PivotSource!$J$2:$J$112,"Excellent",PivotSource!$F$2:$F$112,"High Discount")</f>
        <v>9</v>
      </c>
      <c r="M13" s="71">
        <f>COUNTIFS(PivotSource!$J$2:$J$112,"Excellent",PivotSource!$F$2:$F$112,"Medium Discount")</f>
        <v>12</v>
      </c>
      <c r="N13" s="71">
        <f>COUNTIFS(PivotSource!$J$2:$J$112,"Excellent",PivotSource!$F$2:$F$112,"Low Discount")</f>
        <v>1</v>
      </c>
      <c r="O13" s="65">
        <f>COUNTIF(PivotSource!$J$2:$J$112,"Excellent")</f>
        <v>22</v>
      </c>
    </row>
    <row r="14" spans="2:15" ht="20" customHeight="1" x14ac:dyDescent="0.35">
      <c r="B14" s="81" t="s">
        <v>36</v>
      </c>
      <c r="C14" s="75">
        <v>0.2</v>
      </c>
      <c r="D14" s="75">
        <v>0.3</v>
      </c>
      <c r="E14" s="71">
        <f>COUNTIFS(PivotSource!$E$2:$E$112,"&gt;=0.2",PivotSource!$E$2:$E$112,"&lt;0.3")</f>
        <v>14</v>
      </c>
      <c r="F14" s="71">
        <f>AVERAGEIFS(PivotSource!$B$2:$B$112,PivotSource!$E$2:$E$112,"&gt;=0.2",PivotSource!$E$2:$E$112,"&lt;0.3")</f>
        <v>1774.3571428571429</v>
      </c>
      <c r="G14" s="75">
        <f>AVERAGEIFS(PivotSource!$E$2:$E$112,PivotSource!$E$2:$E$112,"&gt;=0.2",PivotSource!$E$2:$E$112,"&lt;0.3")</f>
        <v>0.24608993825293277</v>
      </c>
      <c r="H14" s="73">
        <f>AVERAGEIFS(PivotSource!$G$2:$G$112,PivotSource!$E$2:$E$112,"&gt;=0.2",PivotSource!$E$2:$E$112,"&lt;0.3")</f>
        <v>18.545454545454547</v>
      </c>
      <c r="I14" s="72">
        <f>AVERAGEIFS(PivotSource!$H$2:$H$112,PivotSource!$E$2:$E$112,"&gt;=0.2",PivotSource!$E$2:$E$112,"&lt;0.3")</f>
        <v>4.2454545454545451</v>
      </c>
      <c r="K14" s="74" t="s">
        <v>12</v>
      </c>
      <c r="L14" s="65">
        <f>COUNTIFS(PivotSource!$J$2:$J$112,"Average",PivotSource!$F$2:$F$112,"High Discount")</f>
        <v>11</v>
      </c>
      <c r="M14" s="65">
        <f>COUNTIFS(PivotSource!$J$2:$J$112,"Average",PivotSource!$F$2:$F$112,"Medium Discount")</f>
        <v>9</v>
      </c>
      <c r="N14" s="65">
        <f>COUNTIFS(PivotSource!$J$2:$J$112,"Average",PivotSource!$F$2:$F$112,"Low Discount")</f>
        <v>2</v>
      </c>
      <c r="O14" s="65">
        <f>COUNTIF(PivotSource!$J$2:$J$112,"Average")</f>
        <v>22</v>
      </c>
    </row>
    <row r="15" spans="2:15" ht="20" customHeight="1" x14ac:dyDescent="0.35">
      <c r="B15" s="82" t="s">
        <v>37</v>
      </c>
      <c r="C15" s="69">
        <v>0.3</v>
      </c>
      <c r="D15" s="69">
        <v>0.4</v>
      </c>
      <c r="E15" s="65">
        <f>COUNTIFS(PivotSource!$E$2:$E$112,"&gt;=0.3",PivotSource!$E$2:$E$112,"&lt;0.4")</f>
        <v>17</v>
      </c>
      <c r="F15" s="65">
        <f>AVERAGEIFS(PivotSource!$B$2:$B$112,PivotSource!$E$2:$E$112,"&gt;=0.3",PivotSource!$E$2:$E$112,"&lt;0.4")</f>
        <v>1419.2941176470588</v>
      </c>
      <c r="G15" s="69">
        <f>AVERAGEIFS(PivotSource!$E$2:$E$112,PivotSource!$E$2:$E$112,"&gt;=0.3",PivotSource!$E$2:$E$112,"&lt;0.4")</f>
        <v>0.3578363102888002</v>
      </c>
      <c r="H15" s="67">
        <f>AVERAGEIFS(PivotSource!$G$2:$G$112,PivotSource!$E$2:$E$112,"&gt;=0.3",PivotSource!$E$2:$E$112,"&lt;0.4")</f>
        <v>13.181818181818182</v>
      </c>
      <c r="I15" s="66">
        <f>AVERAGEIFS(PivotSource!$H$2:$H$112,PivotSource!$E$2:$E$112,"&gt;=0.3",PivotSource!$E$2:$E$112,"&lt;0.4")</f>
        <v>4.2909090909090901</v>
      </c>
      <c r="K15" s="77" t="s">
        <v>14</v>
      </c>
      <c r="L15" s="71">
        <f>COUNTIFS(PivotSource!$J$2:$J$112,"Poor",PivotSource!$F$2:$F$112,"High Discount")</f>
        <v>10</v>
      </c>
      <c r="M15" s="71">
        <f>COUNTIFS(PivotSource!$J$2:$J$112,"Poor",PivotSource!$F$2:$F$112,"Medium Discount")</f>
        <v>1</v>
      </c>
      <c r="N15" s="71">
        <f>COUNTIFS(PivotSource!$J$2:$J$112,"Poor",PivotSource!$F$2:$F$112,"Low Discount")</f>
        <v>1</v>
      </c>
      <c r="O15" s="65">
        <f>COUNTIF(PivotSource!$J$2:$J$112,"Poor")</f>
        <v>12</v>
      </c>
    </row>
    <row r="16" spans="2:15" ht="20" customHeight="1" x14ac:dyDescent="0.35">
      <c r="B16" s="81" t="s">
        <v>38</v>
      </c>
      <c r="C16" s="75">
        <v>0.4</v>
      </c>
      <c r="D16" s="75">
        <v>0.5</v>
      </c>
      <c r="E16" s="71">
        <f>COUNTIFS(PivotSource!$E$2:$E$112,"&gt;=0.4",PivotSource!$E$2:$E$112,"&lt;0.5")</f>
        <v>43</v>
      </c>
      <c r="F16" s="71">
        <f>AVERAGEIFS(PivotSource!$B$2:$B$112,PivotSource!$E$2:$E$112,"&gt;=0.4",PivotSource!$E$2:$E$112,"&lt;0.5")</f>
        <v>793.46511627906978</v>
      </c>
      <c r="G16" s="75">
        <f>AVERAGEIFS(PivotSource!$E$2:$E$112,PivotSource!$E$2:$E$112,"&gt;=0.4",PivotSource!$E$2:$E$112,"&lt;0.5")</f>
        <v>0.46225843631967711</v>
      </c>
      <c r="H16" s="73">
        <f>AVERAGEIFS(PivotSource!$G$2:$G$112,PivotSource!$E$2:$E$112,"&gt;=0.4",PivotSource!$E$2:$E$112,"&lt;0.5")</f>
        <v>13.157894736842104</v>
      </c>
      <c r="I16" s="72">
        <f>AVERAGEIFS(PivotSource!$H$2:$H$112,PivotSource!$E$2:$E$112,"&gt;=0.4",PivotSource!$E$2:$E$112,"&lt;0.5")</f>
        <v>3.6631578947368419</v>
      </c>
      <c r="K16" s="79" t="s">
        <v>16</v>
      </c>
      <c r="L16" s="65">
        <f>COUNTIFS(PivotSource!$J$2:$J$112,"N/A",PivotSource!$F$2:$F$112,"High Discount")</f>
        <v>32</v>
      </c>
      <c r="M16" s="65">
        <f>COUNTIFS(PivotSource!$J$2:$J$112,"N/A",PivotSource!$F$2:$F$112,"Medium Discount")</f>
        <v>9</v>
      </c>
      <c r="N16" s="65">
        <f>COUNTIFS(PivotSource!$J$2:$J$112,"N/A",PivotSource!$F$2:$F$112,"Low Discount")</f>
        <v>14</v>
      </c>
      <c r="O16" s="65">
        <f>COUNTIF(PivotSource!$J$2:$J$112,"N/A")</f>
        <v>55</v>
      </c>
    </row>
    <row r="17" spans="2:15" ht="20" customHeight="1" x14ac:dyDescent="0.35">
      <c r="B17" s="83" t="s">
        <v>25</v>
      </c>
      <c r="C17" s="69">
        <v>0.5</v>
      </c>
      <c r="D17" s="69">
        <v>1</v>
      </c>
      <c r="E17" s="65">
        <f>COUNTIFS(PivotSource!$E$2:$E$112,"&gt;=0.5",PivotSource!$E$2:$E$112,"&lt;1.0")</f>
        <v>19</v>
      </c>
      <c r="F17" s="65">
        <f>AVERAGEIFS(PivotSource!$B$2:$B$112,PivotSource!$E$2:$E$112,"&gt;=0.5",PivotSource!$E$2:$E$112,"&lt;1.0")</f>
        <v>672.57894736842104</v>
      </c>
      <c r="G17" s="69">
        <f>AVERAGEIFS(PivotSource!$E$2:$E$112,PivotSource!$E$2:$E$112,"&gt;=0.5",PivotSource!$E$2:$E$112,"&lt;1.0")</f>
        <v>0.53052257481221721</v>
      </c>
      <c r="H17" s="67">
        <f>AVERAGEIFS(PivotSource!$G$2:$G$112,PivotSource!$E$2:$E$112,"&gt;=0.5",PivotSource!$E$2:$E$112,"&lt;1.0")</f>
        <v>7.6363636363636367</v>
      </c>
      <c r="I17" s="66">
        <f>AVERAGEIFS(PivotSource!$H$2:$H$112,PivotSource!$E$2:$E$112,"&gt;=0.5",PivotSource!$E$2:$E$112,"&lt;1.0")</f>
        <v>3.5272727272727278</v>
      </c>
      <c r="K17" s="78" t="s">
        <v>41</v>
      </c>
      <c r="L17" s="71">
        <f>COUNTIF(PivotSource!$F$2:$F$112,"High Discount")</f>
        <v>62</v>
      </c>
      <c r="M17" s="71">
        <f>COUNTIF(PivotSource!$F$2:$F$112,"Medium Discount")</f>
        <v>31</v>
      </c>
      <c r="N17" s="71">
        <f>COUNTIF(PivotSource!$F$2:$F$112,"Low Discount")</f>
        <v>18</v>
      </c>
      <c r="O17" s="85">
        <f>SUM(L17:N17)</f>
        <v>111</v>
      </c>
    </row>
    <row r="18" spans="2:15" ht="22" customHeight="1" x14ac:dyDescent="0.35">
      <c r="B18" s="63" t="s">
        <v>29</v>
      </c>
      <c r="C18" s="84"/>
      <c r="D18" s="84"/>
      <c r="E18" s="65">
        <f>SUM(E13:E17)</f>
        <v>111</v>
      </c>
      <c r="F18" s="65">
        <f>AVERAGE(PivotSource!$B$2:$B$112)</f>
        <v>1181.3693693693695</v>
      </c>
      <c r="G18" s="69">
        <f>AVERAGE(PivotSource!$E$2:$E$112)</f>
        <v>0.36744580818585404</v>
      </c>
      <c r="H18" s="67">
        <f>AVERAGEIF(PivotSource!$G$2:$G$112,"&lt;&gt;",PivotSource!$G$2:$G$112)</f>
        <v>12.875</v>
      </c>
      <c r="I18" s="66">
        <f>AVERAGEIF(PivotSource!$H$2:$H$112,"&lt;&gt;",PivotSource!$H$2:$H$112)</f>
        <v>3.8785714285714277</v>
      </c>
    </row>
    <row r="20" spans="2:15" ht="24" customHeight="1" x14ac:dyDescent="0.35"/>
    <row r="21" spans="2:15" ht="27.65" customHeight="1" x14ac:dyDescent="0.35"/>
    <row r="22" spans="2:15" ht="20" customHeight="1" x14ac:dyDescent="0.35"/>
    <row r="23" spans="2:15" ht="20" customHeight="1" x14ac:dyDescent="0.35"/>
    <row r="24" spans="2:15" ht="20" customHeight="1" x14ac:dyDescent="0.35"/>
    <row r="25" spans="2:15" ht="20" customHeight="1" x14ac:dyDescent="0.35"/>
    <row r="26" spans="2:15" ht="20" customHeight="1" x14ac:dyDescent="0.35"/>
    <row r="28" spans="2:15" ht="24" customHeight="1" x14ac:dyDescent="0.35"/>
    <row r="29" spans="2:15" ht="22" customHeight="1" x14ac:dyDescent="0.35"/>
    <row r="30" spans="2:15" ht="22" customHeight="1" x14ac:dyDescent="0.35"/>
    <row r="31" spans="2:15" ht="22" customHeight="1" x14ac:dyDescent="0.35"/>
    <row r="32" spans="2:15" ht="22" customHeight="1" x14ac:dyDescent="0.35"/>
    <row r="33" ht="22" customHeight="1" x14ac:dyDescent="0.35"/>
    <row r="34" ht="22" customHeight="1" x14ac:dyDescent="0.35"/>
    <row r="35" ht="22" customHeight="1" x14ac:dyDescent="0.35"/>
    <row r="36" ht="22" customHeight="1" x14ac:dyDescent="0.35"/>
  </sheetData>
  <mergeCells count="6">
    <mergeCell ref="B1:M1"/>
    <mergeCell ref="B11:I11"/>
    <mergeCell ref="K11:O11"/>
    <mergeCell ref="B2:M2"/>
    <mergeCell ref="I3:M3"/>
    <mergeCell ref="B3:F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949AB"/>
  </sheetPr>
  <dimension ref="A1:D66"/>
  <sheetViews>
    <sheetView showGridLines="0" zoomScaleNormal="100" workbookViewId="0">
      <selection activeCell="A12" sqref="A12"/>
    </sheetView>
  </sheetViews>
  <sheetFormatPr defaultColWidth="8.6328125" defaultRowHeight="14.5" x14ac:dyDescent="0.35"/>
  <cols>
    <col min="1" max="1" width="28" customWidth="1"/>
    <col min="2" max="2" width="19.90625" customWidth="1"/>
    <col min="3" max="3" width="46.81640625" customWidth="1"/>
    <col min="4" max="4" width="20" customWidth="1"/>
    <col min="5" max="7" width="8.6328125" customWidth="1"/>
  </cols>
  <sheetData>
    <row r="1" spans="1:3" ht="15" customHeight="1" x14ac:dyDescent="0.35">
      <c r="A1" s="162" t="s">
        <v>161</v>
      </c>
      <c r="B1" s="162"/>
      <c r="C1" s="162"/>
    </row>
    <row r="2" spans="1:3" ht="15" customHeight="1" x14ac:dyDescent="0.35">
      <c r="A2" s="28" t="s">
        <v>17</v>
      </c>
      <c r="B2" s="28" t="s">
        <v>162</v>
      </c>
      <c r="C2" s="28" t="s">
        <v>163</v>
      </c>
    </row>
    <row r="3" spans="1:3" ht="15" customHeight="1" x14ac:dyDescent="0.35">
      <c r="A3" s="39" t="s">
        <v>164</v>
      </c>
      <c r="B3" s="40" t="s">
        <v>165</v>
      </c>
      <c r="C3" s="37">
        <f>COUNTA('Cleaned Data'!A2:A112)</f>
        <v>111</v>
      </c>
    </row>
    <row r="4" spans="1:3" ht="15" customHeight="1" x14ac:dyDescent="0.35">
      <c r="A4" s="41" t="s">
        <v>166</v>
      </c>
      <c r="B4" s="42" t="s">
        <v>167</v>
      </c>
      <c r="C4" s="30">
        <f>AVERAGE('Cleaned Data'!B2:B112)</f>
        <v>1181.3693693693695</v>
      </c>
    </row>
    <row r="5" spans="1:3" ht="15" customHeight="1" x14ac:dyDescent="0.35">
      <c r="A5" s="39" t="s">
        <v>168</v>
      </c>
      <c r="B5" s="40" t="s">
        <v>167</v>
      </c>
      <c r="C5" s="35">
        <f>AVERAGE('Cleaned Data'!C2:C112)</f>
        <v>1803.099099099099</v>
      </c>
    </row>
    <row r="6" spans="1:3" ht="15" customHeight="1" x14ac:dyDescent="0.35">
      <c r="A6" s="41" t="s">
        <v>19</v>
      </c>
      <c r="B6" s="42" t="s">
        <v>167</v>
      </c>
      <c r="C6" s="31">
        <f>AVERAGE('Cleaned Data'!E2:E112)</f>
        <v>0.36744580818585382</v>
      </c>
    </row>
    <row r="7" spans="1:3" ht="15" customHeight="1" x14ac:dyDescent="0.35">
      <c r="A7" s="39" t="s">
        <v>169</v>
      </c>
      <c r="B7" s="40" t="s">
        <v>170</v>
      </c>
      <c r="C7" s="43">
        <f>AVERAGEIF('Cleaned Data'!H2:H112,"&lt;&gt;",'Cleaned Data'!H2:H112)</f>
        <v>3.8785714285714286</v>
      </c>
    </row>
    <row r="8" spans="1:3" ht="15" customHeight="1" x14ac:dyDescent="0.35">
      <c r="A8" s="41" t="s">
        <v>171</v>
      </c>
      <c r="B8" s="42" t="s">
        <v>172</v>
      </c>
      <c r="C8" s="30">
        <f>SUM('Cleaned Data'!G2:G112)</f>
        <v>721</v>
      </c>
    </row>
    <row r="9" spans="1:3" ht="15" customHeight="1" x14ac:dyDescent="0.35">
      <c r="A9" s="39" t="s">
        <v>173</v>
      </c>
      <c r="B9" s="40" t="s">
        <v>174</v>
      </c>
      <c r="C9" s="35">
        <f>MAX('Cleaned Data'!B2:B112)</f>
        <v>3750</v>
      </c>
    </row>
    <row r="10" spans="1:3" ht="15" customHeight="1" x14ac:dyDescent="0.35">
      <c r="A10" s="41" t="s">
        <v>175</v>
      </c>
      <c r="B10" s="42" t="s">
        <v>176</v>
      </c>
      <c r="C10" s="30">
        <f>MIN('Cleaned Data'!B2:B112)</f>
        <v>38</v>
      </c>
    </row>
    <row r="11" spans="1:3" ht="23.9" customHeight="1" x14ac:dyDescent="0.35">
      <c r="A11" s="39" t="s">
        <v>177</v>
      </c>
      <c r="B11" s="40" t="s">
        <v>178</v>
      </c>
      <c r="C11" s="37" t="str">
        <f>INDEX('Cleaned Data'!A2:A112,MATCH(MAX('Cleaned Data'!B2:B112),'Cleaned Data'!B2:B112,0))</f>
        <v>32PCS Portable Cordless Drill Set With Cyclic Battery Drive -26 Variable Speed</v>
      </c>
    </row>
    <row r="12" spans="1:3" ht="15" customHeight="1" x14ac:dyDescent="0.35">
      <c r="A12" s="41" t="s">
        <v>179</v>
      </c>
      <c r="B12" s="42" t="s">
        <v>178</v>
      </c>
      <c r="C12" s="32" t="str">
        <f>INDEX('Cleaned Data'!A2:A112,MATCH(MIN('Cleaned Data'!B2:B112),'Cleaned Data'!B2:B112,0))</f>
        <v>3PCS Single Head Knitting Crochet Sweater Needle Set</v>
      </c>
    </row>
    <row r="13" spans="1:3" ht="15" customHeight="1" x14ac:dyDescent="0.35">
      <c r="A13" s="39" t="s">
        <v>180</v>
      </c>
      <c r="B13" s="40" t="s">
        <v>170</v>
      </c>
      <c r="C13" s="36">
        <f>AVERAGEIF('Cleaned Data'!F2:F112,"High Discount",'Cleaned Data'!E2:E112)</f>
        <v>0.4831780916641652</v>
      </c>
    </row>
    <row r="14" spans="1:3" ht="15" customHeight="1" x14ac:dyDescent="0.35">
      <c r="A14" s="41" t="s">
        <v>181</v>
      </c>
      <c r="B14" s="42" t="s">
        <v>170</v>
      </c>
      <c r="C14" s="44">
        <f>AVERAGEIF('Cleaned Data'!F2:F112,"High Discount",'Cleaned Data'!H2:H112)</f>
        <v>3.613333333333332</v>
      </c>
    </row>
    <row r="15" spans="1:3" ht="15" customHeight="1" x14ac:dyDescent="0.35">
      <c r="A15" s="39" t="s">
        <v>182</v>
      </c>
      <c r="B15" s="40" t="s">
        <v>170</v>
      </c>
      <c r="C15" s="43">
        <f>AVERAGEIF('Cleaned Data'!F2:F112,"Low Discount",'Cleaned Data'!H2:H112)</f>
        <v>3.7249999999999996</v>
      </c>
    </row>
    <row r="16" spans="1:3" ht="15" customHeight="1" x14ac:dyDescent="0.35">
      <c r="A16" s="41" t="s">
        <v>183</v>
      </c>
      <c r="B16" s="42" t="s">
        <v>170</v>
      </c>
      <c r="C16" s="33">
        <f>AVERAGEIF('Cleaned Data'!F2:F112,"High Discount",'Cleaned Data'!G2:G112)</f>
        <v>11.133333333333333</v>
      </c>
    </row>
    <row r="17" spans="1:3" ht="15" customHeight="1" x14ac:dyDescent="0.35">
      <c r="A17" s="39" t="s">
        <v>184</v>
      </c>
      <c r="B17" s="40" t="s">
        <v>170</v>
      </c>
      <c r="C17" s="38">
        <f>AVERAGEIF('Cleaned Data'!F2:F112,"Low Discount",'Cleaned Data'!G2:G112)</f>
        <v>9.5</v>
      </c>
    </row>
    <row r="18" spans="1:3" ht="15" customHeight="1" x14ac:dyDescent="0.35">
      <c r="A18" s="41" t="s">
        <v>185</v>
      </c>
      <c r="B18" s="42" t="s">
        <v>186</v>
      </c>
      <c r="C18" s="32">
        <f>COUNTBLANK('Cleaned Data'!G2:G112)</f>
        <v>55</v>
      </c>
    </row>
    <row r="19" spans="1:3" ht="15" customHeight="1" x14ac:dyDescent="0.35">
      <c r="A19" s="39" t="s">
        <v>187</v>
      </c>
      <c r="B19" s="40" t="s">
        <v>188</v>
      </c>
      <c r="C19" s="37">
        <f>COUNTIF('Cleaned Data'!J2:J112,"Excellent")</f>
        <v>22</v>
      </c>
    </row>
    <row r="20" spans="1:3" ht="15" customHeight="1" x14ac:dyDescent="0.35">
      <c r="A20" s="41" t="s">
        <v>189</v>
      </c>
      <c r="B20" s="42" t="s">
        <v>188</v>
      </c>
      <c r="C20" s="32">
        <f>COUNTIF('Cleaned Data'!J2:J112,"Average")</f>
        <v>22</v>
      </c>
    </row>
    <row r="21" spans="1:3" ht="15" customHeight="1" x14ac:dyDescent="0.35">
      <c r="A21" s="39" t="s">
        <v>190</v>
      </c>
      <c r="B21" s="40" t="s">
        <v>188</v>
      </c>
      <c r="C21" s="37">
        <f>COUNTIF('Cleaned Data'!J2:J112,"Poor")</f>
        <v>12</v>
      </c>
    </row>
    <row r="22" spans="1:3" ht="15" customHeight="1" x14ac:dyDescent="0.35">
      <c r="A22" s="41" t="s">
        <v>191</v>
      </c>
      <c r="B22" s="42" t="s">
        <v>188</v>
      </c>
      <c r="C22" s="32">
        <f>COUNTIF('Cleaned Data'!F2:F112,"High Discount")</f>
        <v>62</v>
      </c>
    </row>
    <row r="23" spans="1:3" ht="15" customHeight="1" x14ac:dyDescent="0.35">
      <c r="A23" s="39" t="s">
        <v>192</v>
      </c>
      <c r="B23" s="40" t="s">
        <v>188</v>
      </c>
      <c r="C23" s="37">
        <f>COUNTIF('Cleaned Data'!F2:F112,"Medium Discount")</f>
        <v>31</v>
      </c>
    </row>
    <row r="24" spans="1:3" ht="15" customHeight="1" x14ac:dyDescent="0.35">
      <c r="A24" s="41" t="s">
        <v>193</v>
      </c>
      <c r="B24" s="42" t="s">
        <v>188</v>
      </c>
      <c r="C24" s="32">
        <f>COUNTIF('Cleaned Data'!F2:F112,"Low Discount")</f>
        <v>18</v>
      </c>
    </row>
    <row r="26" spans="1:3" ht="15" customHeight="1" x14ac:dyDescent="0.35">
      <c r="A26" s="161" t="s">
        <v>194</v>
      </c>
      <c r="B26" s="124"/>
      <c r="C26" s="124"/>
    </row>
    <row r="27" spans="1:3" ht="15" customHeight="1" x14ac:dyDescent="0.35">
      <c r="A27" s="28" t="s">
        <v>195</v>
      </c>
      <c r="B27" s="28" t="s">
        <v>42</v>
      </c>
      <c r="C27" s="28" t="s">
        <v>196</v>
      </c>
    </row>
    <row r="28" spans="1:3" ht="46.25" customHeight="1" x14ac:dyDescent="0.35">
      <c r="A28" s="32">
        <v>1</v>
      </c>
      <c r="B28" s="29" t="str">
        <f>IFERROR(INDEX('Cleaned Data'!$A$2:$A$112,MATCH(LARGE(IF('Cleaned Data'!$H$2:$H$112&lt;&gt;"",'Cleaned Data'!$H$2:$H$112),1),'Cleaned Data'!$H$2:$H$112,0)),"N/A")</f>
        <v>Anti-Skid Absorbent Insulation Coaster  For Home Office</v>
      </c>
      <c r="C28" s="33">
        <f>LARGE(IF('Cleaned Data'!$H$2:$H$112&lt;&gt;"",'Cleaned Data'!$H$2:$H$112),1)</f>
        <v>5</v>
      </c>
    </row>
    <row r="29" spans="1:3" ht="46.25" customHeight="1" x14ac:dyDescent="0.35">
      <c r="A29" s="37">
        <v>2</v>
      </c>
      <c r="B29" s="34" t="str">
        <f>IFERROR(INDEX('Cleaned Data'!$A$2:$A$112,MATCH(LARGE(IF('Cleaned Data'!$H$2:$H$112&lt;&gt;"",'Cleaned Data'!$H$2:$H$112),2),'Cleaned Data'!$H$2:$H$112,0)),"N/A")</f>
        <v>Anti-Skid Absorbent Insulation Coaster  For Home Office</v>
      </c>
      <c r="C29" s="38">
        <f>LARGE(IF('Cleaned Data'!$H$2:$H$112&lt;&gt;"",'Cleaned Data'!$H$2:$H$112),2)</f>
        <v>5</v>
      </c>
    </row>
    <row r="30" spans="1:3" ht="46.25" customHeight="1" x14ac:dyDescent="0.35">
      <c r="A30" s="32">
        <v>3</v>
      </c>
      <c r="B30" s="29" t="str">
        <f>IFERROR(INDEX('Cleaned Data'!$A$2:$A$112,MATCH(LARGE(IF('Cleaned Data'!$H$2:$H$112&lt;&gt;"",'Cleaned Data'!$H$2:$H$112),3),'Cleaned Data'!$H$2:$H$112,0)),"N/A")</f>
        <v>Anti-Skid Absorbent Insulation Coaster  For Home Office</v>
      </c>
      <c r="C30" s="33">
        <f>LARGE(IF('Cleaned Data'!$H$2:$H$112&lt;&gt;"",'Cleaned Data'!$H$2:$H$112),3)</f>
        <v>5</v>
      </c>
    </row>
    <row r="31" spans="1:3" ht="44.4" customHeight="1" x14ac:dyDescent="0.35">
      <c r="A31" s="37">
        <v>4</v>
      </c>
      <c r="B31" s="34" t="str">
        <f>IFERROR(INDEX('Cleaned Data'!$A$2:$A$112,MATCH(LARGE(IF('Cleaned Data'!$H$2:$H$112&lt;&gt;"",'Cleaned Data'!$H$2:$H$112),4),'Cleaned Data'!$H$2:$H$112,0)),"N/A")</f>
        <v>Anti-Skid Absorbent Insulation Coaster  For Home Office</v>
      </c>
      <c r="C31" s="38">
        <f>LARGE(IF('Cleaned Data'!$H$2:$H$112&lt;&gt;"",'Cleaned Data'!$H$2:$H$112),4)</f>
        <v>5</v>
      </c>
    </row>
    <row r="32" spans="1:3" ht="46.25" customHeight="1" x14ac:dyDescent="0.35">
      <c r="A32" s="32">
        <v>5</v>
      </c>
      <c r="B32" s="29" t="str">
        <f>IFERROR(INDEX('Cleaned Data'!$A$2:$A$112,MATCH(LARGE(IF('Cleaned Data'!$H$2:$H$112&lt;&gt;"",'Cleaned Data'!$H$2:$H$112),5),'Cleaned Data'!$H$2:$H$112,0)),"N/A")</f>
        <v>Anti-Skid Absorbent Insulation Coaster  For Home Office</v>
      </c>
      <c r="C32" s="33">
        <f>LARGE(IF('Cleaned Data'!$H$2:$H$112&lt;&gt;"",'Cleaned Data'!$H$2:$H$112),5)</f>
        <v>5</v>
      </c>
    </row>
    <row r="34" spans="1:4" ht="15" customHeight="1" x14ac:dyDescent="0.35">
      <c r="A34" s="161" t="s">
        <v>197</v>
      </c>
      <c r="B34" s="124"/>
      <c r="C34" s="124"/>
    </row>
    <row r="35" spans="1:4" ht="15" customHeight="1" x14ac:dyDescent="0.35">
      <c r="A35" s="28" t="s">
        <v>195</v>
      </c>
      <c r="B35" s="28" t="s">
        <v>42</v>
      </c>
      <c r="C35" s="28" t="s">
        <v>196</v>
      </c>
    </row>
    <row r="36" spans="1:4" ht="35.15" customHeight="1" x14ac:dyDescent="0.35">
      <c r="A36" s="32">
        <v>1</v>
      </c>
      <c r="B36" s="29" t="str">
        <f>IFERROR(INDEX('Cleaned Data'!$A$2:$A$112,MATCH(SMALL(IF('Cleaned Data'!$H$2:$H$112&lt;&gt;"",'Cleaned Data'!$H$2:$H$112),1),'Cleaned Data'!$H$2:$H$112,0)),"N/A")</f>
        <v>Wall-mounted Sticker Punch-free Plug Fixer</v>
      </c>
      <c r="C36" s="33">
        <f>IFERROR(SMALL(IF('Cleaned Data'!$H$2:$H$112&lt;&gt;"",'Cleaned Data'!$H$2:$H$112),1),"")</f>
        <v>2</v>
      </c>
    </row>
    <row r="37" spans="1:4" ht="46.25" customHeight="1" x14ac:dyDescent="0.35">
      <c r="A37" s="37">
        <v>2</v>
      </c>
      <c r="B37" s="34" t="str">
        <f>IFERROR(INDEX('Cleaned Data'!$A$2:$A$112,MATCH(SMALL(IF('Cleaned Data'!$H$2:$H$112&lt;&gt;"",'Cleaned Data'!$H$2:$H$112),2),'Cleaned Data'!$H$2:$H$112,0)),"N/A")</f>
        <v>5-PCS Stainless Steel Cooking Pot Set With Steamed Slices</v>
      </c>
      <c r="C37" s="38">
        <f>IFERROR(SMALL(IF('Cleaned Data'!$H$2:$H$112&lt;&gt;"",'Cleaned Data'!$H$2:$H$112),2),"")</f>
        <v>2.1</v>
      </c>
    </row>
    <row r="38" spans="1:4" ht="46.25" customHeight="1" x14ac:dyDescent="0.35">
      <c r="A38" s="32">
        <v>3</v>
      </c>
      <c r="B38" s="29" t="str">
        <f>IFERROR(INDEX('Cleaned Data'!$A$2:$A$112,MATCH(SMALL(IF('Cleaned Data'!$H$2:$H$112&lt;&gt;"",'Cleaned Data'!$H$2:$H$112),3),'Cleaned Data'!$H$2:$H$112,0)),"N/A")</f>
        <v>5-PCS Stainless Steel Cooking Pot Set With Steamed Slices</v>
      </c>
      <c r="C38" s="33">
        <f>IFERROR(SMALL(IF('Cleaned Data'!$H$2:$H$112&lt;&gt;"",'Cleaned Data'!$H$2:$H$112),3),"")</f>
        <v>2.1</v>
      </c>
    </row>
    <row r="39" spans="1:4" ht="46.25" customHeight="1" x14ac:dyDescent="0.35">
      <c r="A39" s="37">
        <v>4</v>
      </c>
      <c r="B39" s="34" t="str">
        <f>IFERROR(INDEX('Cleaned Data'!$A$2:$A$112,MATCH(SMALL(IF('Cleaned Data'!$H$2:$H$112&lt;&gt;"",'Cleaned Data'!$H$2:$H$112),4),'Cleaned Data'!$H$2:$H$112,0)),"N/A")</f>
        <v>Artificial Potted Flowers Room Decorative Flowers (2 Pieces)</v>
      </c>
      <c r="C39" s="38">
        <f>IFERROR(SMALL(IF('Cleaned Data'!$H$2:$H$112&lt;&gt;"",'Cleaned Data'!$H$2:$H$112),4),"")</f>
        <v>2.2000000000000002</v>
      </c>
    </row>
    <row r="40" spans="1:4" ht="52.75" customHeight="1" x14ac:dyDescent="0.35">
      <c r="A40" s="32">
        <v>5</v>
      </c>
      <c r="B40" s="29" t="str">
        <f>IFERROR(INDEX('Cleaned Data'!$A$2:$A$112,MATCH(SMALL(IF('Cleaned Data'!$H$2:$H$112&lt;&gt;"",'Cleaned Data'!$H$2:$H$112),5),'Cleaned Data'!$H$2:$H$112,0)),"N/A")</f>
        <v>Artificial Potted Flowers Room Decorative Flowers (2 Pieces)</v>
      </c>
      <c r="C40" s="33">
        <f>IFERROR(SMALL(IF('Cleaned Data'!$H$2:$H$112&lt;&gt;"",'Cleaned Data'!$H$2:$H$112),5),"")</f>
        <v>2.2000000000000002</v>
      </c>
    </row>
    <row r="42" spans="1:4" ht="15" customHeight="1" x14ac:dyDescent="0.35">
      <c r="A42" s="161" t="s">
        <v>198</v>
      </c>
      <c r="B42" s="124"/>
      <c r="C42" s="124"/>
      <c r="D42" s="124"/>
    </row>
    <row r="43" spans="1:4" ht="15" customHeight="1" x14ac:dyDescent="0.35">
      <c r="A43" s="28" t="s">
        <v>195</v>
      </c>
      <c r="B43" s="28" t="s">
        <v>42</v>
      </c>
      <c r="C43" s="28" t="s">
        <v>46</v>
      </c>
      <c r="D43" s="28" t="s">
        <v>4</v>
      </c>
    </row>
    <row r="44" spans="1:4" ht="46.25" customHeight="1" x14ac:dyDescent="0.35">
      <c r="A44" s="32">
        <v>1</v>
      </c>
      <c r="B44" s="29" t="str">
        <f>IFERROR(INDEX('Cleaned Data'!$A$2:$A$112,MATCH(LARGE('Cleaned Data'!$E$2:$E$112,1),'Cleaned Data'!$E$2:$E$112,0)),"N/A")</f>
        <v>6 In 1 Bottle Can Opener Multifunctional Easy Opener</v>
      </c>
      <c r="C44" s="31">
        <f>IFERROR(LARGE('Cleaned Data'!$E$2:$E$112,1),"")</f>
        <v>0.64014466546112114</v>
      </c>
      <c r="D44" s="32" t="str">
        <f>IFERROR(INDEX('Cleaned Data'!$F$2:$F$112,MATCH(LARGE('Cleaned Data'!$E$2:$E$112,1),'Cleaned Data'!$E$2:$E$112,0)),"N/A")</f>
        <v>High Discount</v>
      </c>
    </row>
    <row r="45" spans="1:4" ht="35.15" customHeight="1" x14ac:dyDescent="0.35">
      <c r="A45" s="37">
        <v>2</v>
      </c>
      <c r="B45" s="34" t="str">
        <f>IFERROR(INDEX('Cleaned Data'!$A$2:$A$112,MATCH(LARGE('Cleaned Data'!$E$2:$E$112,2),'Cleaned Data'!$E$2:$E$112,0)),"N/A")</f>
        <v>Creative Owl Shape Keychain Black</v>
      </c>
      <c r="C45" s="36">
        <f>IFERROR(LARGE('Cleaned Data'!$E$2:$E$112,2),"")</f>
        <v>0.60515873015873012</v>
      </c>
      <c r="D45" s="37" t="str">
        <f>IFERROR(INDEX('Cleaned Data'!$F$2:$F$112,MATCH(LARGE('Cleaned Data'!$E$2:$E$112,2),'Cleaned Data'!$E$2:$E$112,0)),"N/A")</f>
        <v>High Discount</v>
      </c>
    </row>
    <row r="46" spans="1:4" ht="46.25" customHeight="1" x14ac:dyDescent="0.35">
      <c r="A46" s="32">
        <v>3</v>
      </c>
      <c r="B46" s="29" t="str">
        <f>IFERROR(INDEX('Cleaned Data'!$A$2:$A$112,MATCH(LARGE('Cleaned Data'!$E$2:$E$112,3),'Cleaned Data'!$E$2:$E$112,0)),"N/A")</f>
        <v>Simple Metal Dog Art Sculpture Decoration For Home Office</v>
      </c>
      <c r="C46" s="31">
        <f>IFERROR(LARGE('Cleaned Data'!$E$2:$E$112,3),"")</f>
        <v>0.5546875</v>
      </c>
      <c r="D46" s="32" t="str">
        <f>IFERROR(INDEX('Cleaned Data'!$F$2:$F$112,MATCH(LARGE('Cleaned Data'!$E$2:$E$112,3),'Cleaned Data'!$E$2:$E$112,0)),"N/A")</f>
        <v>High Discount</v>
      </c>
    </row>
    <row r="47" spans="1:4" ht="46.25" customHeight="1" x14ac:dyDescent="0.35">
      <c r="A47" s="37">
        <v>4</v>
      </c>
      <c r="B47" s="34" t="str">
        <f>IFERROR(INDEX('Cleaned Data'!$A$2:$A$112,MATCH(LARGE('Cleaned Data'!$E$2:$E$112,4),'Cleaned Data'!$E$2:$E$112,0)),"N/A")</f>
        <v>5-PCS Stainless Steel Cooking Pot Set With Steamed Slices</v>
      </c>
      <c r="C47" s="36">
        <f>IFERROR(LARGE('Cleaned Data'!$E$2:$E$112,4),"")</f>
        <v>0.55000000000000004</v>
      </c>
      <c r="D47" s="37" t="str">
        <f>IFERROR(INDEX('Cleaned Data'!$F$2:$F$112,MATCH(LARGE('Cleaned Data'!$E$2:$E$112,4),'Cleaned Data'!$E$2:$E$112,0)),"N/A")</f>
        <v>High Discount</v>
      </c>
    </row>
    <row r="48" spans="1:4" ht="35.15" customHeight="1" x14ac:dyDescent="0.35">
      <c r="A48" s="32">
        <v>5</v>
      </c>
      <c r="B48" s="29" t="str">
        <f>IFERROR(INDEX('Cleaned Data'!$A$2:$A$112,MATCH(LARGE('Cleaned Data'!$E$2:$E$112,5),'Cleaned Data'!$E$2:$E$112,0)),"N/A")</f>
        <v>LASA FOLDING TABLE SERVING STAND</v>
      </c>
      <c r="C48" s="31">
        <f>IFERROR(LARGE('Cleaned Data'!$E$2:$E$112,5),"")</f>
        <v>0.54500000000000004</v>
      </c>
      <c r="D48" s="32" t="str">
        <f>IFERROR(INDEX('Cleaned Data'!$F$2:$F$112,MATCH(LARGE('Cleaned Data'!$E$2:$E$112,5),'Cleaned Data'!$E$2:$E$112,0)),"N/A")</f>
        <v>High Discount</v>
      </c>
    </row>
    <row r="49" spans="1:4" ht="46.25" customHeight="1" x14ac:dyDescent="0.35">
      <c r="A49" s="37">
        <v>6</v>
      </c>
      <c r="B49" s="34" t="str">
        <f>IFERROR(INDEX('Cleaned Data'!$A$2:$A$112,MATCH(LARGE('Cleaned Data'!$E$2:$E$112,6),'Cleaned Data'!$E$2:$E$112,0)),"N/A")</f>
        <v>LASA 3 Tier Bamboo Shoe Bench Storage Shelf</v>
      </c>
      <c r="C49" s="36">
        <f>IFERROR(LARGE('Cleaned Data'!$E$2:$E$112,6),"")</f>
        <v>0.54488888888888887</v>
      </c>
      <c r="D49" s="37" t="str">
        <f>IFERROR(INDEX('Cleaned Data'!$F$2:$F$112,MATCH(LARGE('Cleaned Data'!$E$2:$E$112,6),'Cleaned Data'!$E$2:$E$112,0)),"N/A")</f>
        <v>High Discount</v>
      </c>
    </row>
    <row r="50" spans="1:4" ht="68.75" customHeight="1" x14ac:dyDescent="0.35">
      <c r="A50" s="32">
        <v>7</v>
      </c>
      <c r="B50" s="29" t="str">
        <f>IFERROR(INDEX('Cleaned Data'!$A$2:$A$112,MATCH(LARGE('Cleaned Data'!$E$2:$E$112,7),'Cleaned Data'!$E$2:$E$112,0)),"N/A")</f>
        <v>Mythco 120COB Solar Wall Ligt With Motion Sensor And Remote Control 3 Modes</v>
      </c>
      <c r="C50" s="31">
        <f>IFERROR(LARGE('Cleaned Data'!$E$2:$E$112,7),"")</f>
        <v>0.53549695740365111</v>
      </c>
      <c r="D50" s="32" t="str">
        <f>IFERROR(INDEX('Cleaned Data'!$F$2:$F$112,MATCH(LARGE('Cleaned Data'!$E$2:$E$112,7),'Cleaned Data'!$E$2:$E$112,0)),"N/A")</f>
        <v>High Discount</v>
      </c>
    </row>
    <row r="51" spans="1:4" ht="46.25" customHeight="1" x14ac:dyDescent="0.35">
      <c r="A51" s="37">
        <v>8</v>
      </c>
      <c r="B51" s="34" t="str">
        <f>IFERROR(INDEX('Cleaned Data'!$A$2:$A$112,MATCH(LARGE('Cleaned Data'!$E$2:$E$112,8),'Cleaned Data'!$E$2:$E$112,0)),"N/A")</f>
        <v>Classic Black Cat Cotton Hemp Pillow Case For Home Car</v>
      </c>
      <c r="C51" s="36">
        <f>IFERROR(LARGE('Cleaned Data'!$E$2:$E$112,8),"")</f>
        <v>0.52500000000000002</v>
      </c>
      <c r="D51" s="37" t="str">
        <f>IFERROR(INDEX('Cleaned Data'!$F$2:$F$112,MATCH(LARGE('Cleaned Data'!$E$2:$E$112,8),'Cleaned Data'!$E$2:$E$112,0)),"N/A")</f>
        <v>High Discount</v>
      </c>
    </row>
    <row r="52" spans="1:4" ht="46.25" customHeight="1" x14ac:dyDescent="0.35">
      <c r="A52" s="32">
        <v>9</v>
      </c>
      <c r="B52" s="29" t="str">
        <f>IFERROR(INDEX('Cleaned Data'!$A$2:$A$112,MATCH(LARGE('Cleaned Data'!$E$2:$E$112,9),'Cleaned Data'!$E$2:$E$112,0)),"N/A")</f>
        <v>Classic Black Cat Cotton Hemp Pillow Case For Home Car</v>
      </c>
      <c r="C52" s="31">
        <f>IFERROR(LARGE('Cleaned Data'!$E$2:$E$112,9),"")</f>
        <v>0.52500000000000002</v>
      </c>
      <c r="D52" s="32" t="str">
        <f>IFERROR(INDEX('Cleaned Data'!$F$2:$F$112,MATCH(LARGE('Cleaned Data'!$E$2:$E$112,9),'Cleaned Data'!$E$2:$E$112,0)),"N/A")</f>
        <v>High Discount</v>
      </c>
    </row>
    <row r="53" spans="1:4" ht="46.25" customHeight="1" x14ac:dyDescent="0.35">
      <c r="A53" s="37">
        <v>10</v>
      </c>
      <c r="B53" s="34" t="str">
        <f>IFERROR(INDEX('Cleaned Data'!$A$2:$A$112,MATCH(LARGE('Cleaned Data'!$E$2:$E$112,10),'Cleaned Data'!$E$2:$E$112,0)),"N/A")</f>
        <v>Intelligent  LED Body Sensor Wireless Lighting Night Light USB</v>
      </c>
      <c r="C53" s="36">
        <f>IFERROR(LARGE('Cleaned Data'!$E$2:$E$112,10),"")</f>
        <v>0.5220588235294118</v>
      </c>
      <c r="D53" s="37" t="str">
        <f>IFERROR(INDEX('Cleaned Data'!$F$2:$F$112,MATCH(LARGE('Cleaned Data'!$E$2:$E$112,10),'Cleaned Data'!$E$2:$E$112,0)),"N/A")</f>
        <v>High Discount</v>
      </c>
    </row>
    <row r="55" spans="1:4" ht="15" customHeight="1" x14ac:dyDescent="0.35">
      <c r="A55" s="161" t="s">
        <v>199</v>
      </c>
      <c r="B55" s="124"/>
      <c r="C55" s="124"/>
      <c r="D55" s="124"/>
    </row>
    <row r="56" spans="1:4" ht="15" customHeight="1" x14ac:dyDescent="0.35">
      <c r="A56" s="28" t="s">
        <v>195</v>
      </c>
      <c r="B56" s="28" t="s">
        <v>42</v>
      </c>
      <c r="C56" s="28" t="s">
        <v>47</v>
      </c>
      <c r="D56" s="28" t="s">
        <v>196</v>
      </c>
    </row>
    <row r="57" spans="1:4" ht="46.25" customHeight="1" x14ac:dyDescent="0.35">
      <c r="A57" s="37">
        <v>1</v>
      </c>
      <c r="B57" s="34" t="str">
        <f>IFERROR(INDEX('Cleaned Data'!$A$2:$A$112,MATCH(LARGE('Cleaned Data'!$G$2:$G$112,1),'Cleaned Data'!$G$2:$G$112,0)),"N/A")</f>
        <v>120W Cordless Vacuum Cleaners Handheld Electric Vacuum Cleaner</v>
      </c>
      <c r="C57" s="35">
        <f>IFERROR(LARGE('Cleaned Data'!$G$2:$G$112,1),"")</f>
        <v>69</v>
      </c>
      <c r="D57" s="38">
        <f>IFERROR(INDEX('Cleaned Data'!$H$2:$H$112,MATCH(LARGE('Cleaned Data'!$G$2:$G$112,1),'Cleaned Data'!$G$2:$G$112,0)),"")</f>
        <v>2.8</v>
      </c>
    </row>
    <row r="58" spans="1:4" ht="46.25" customHeight="1" x14ac:dyDescent="0.35">
      <c r="A58" s="32">
        <v>2</v>
      </c>
      <c r="B58" s="29" t="str">
        <f>IFERROR(INDEX('Cleaned Data'!$A$2:$A$112,MATCH(LARGE('Cleaned Data'!$G$2:$G$112,2),'Cleaned Data'!$G$2:$G$112,0)),"N/A")</f>
        <v>137 Pieces Cake Decorating Tool Set Baking Supplies</v>
      </c>
      <c r="C58" s="30">
        <f>IFERROR(LARGE('Cleaned Data'!$G$2:$G$112,2),"")</f>
        <v>55</v>
      </c>
      <c r="D58" s="33">
        <f>IFERROR(INDEX('Cleaned Data'!$H$2:$H$112,MATCH(LARGE('Cleaned Data'!$G$2:$G$112,2),'Cleaned Data'!$G$2:$G$112,0)),"")</f>
        <v>4.5999999999999996</v>
      </c>
    </row>
    <row r="59" spans="1:4" ht="35.15" customHeight="1" x14ac:dyDescent="0.35">
      <c r="A59" s="37">
        <v>3</v>
      </c>
      <c r="B59" s="34" t="str">
        <f>IFERROR(INDEX('Cleaned Data'!$A$2:$A$112,MATCH(LARGE('Cleaned Data'!$G$2:$G$112,3),'Cleaned Data'!$G$2:$G$112,0)),"N/A")</f>
        <v>Electronic Digital Display Vernier Caliper</v>
      </c>
      <c r="C59" s="35">
        <f>IFERROR(LARGE('Cleaned Data'!$G$2:$G$112,3),"")</f>
        <v>49</v>
      </c>
      <c r="D59" s="38">
        <f>IFERROR(INDEX('Cleaned Data'!$H$2:$H$112,MATCH(LARGE('Cleaned Data'!$G$2:$G$112,3),'Cleaned Data'!$G$2:$G$112,0)),"")</f>
        <v>4.5999999999999996</v>
      </c>
    </row>
    <row r="60" spans="1:4" ht="46.25" customHeight="1" x14ac:dyDescent="0.35">
      <c r="A60" s="32">
        <v>4</v>
      </c>
      <c r="B60" s="29" t="str">
        <f>IFERROR(INDEX('Cleaned Data'!$A$2:$A$112,MATCH(LARGE('Cleaned Data'!$G$2:$G$112,4),'Cleaned Data'!$G$2:$G$112,0)),"N/A")</f>
        <v>3D Waterproof EVA Plastic Shower Curtain 1.8*2Mtrs</v>
      </c>
      <c r="C60" s="30">
        <f>IFERROR(LARGE('Cleaned Data'!$G$2:$G$112,4),"")</f>
        <v>44</v>
      </c>
      <c r="D60" s="33">
        <f>IFERROR(INDEX('Cleaned Data'!$H$2:$H$112,MATCH(LARGE('Cleaned Data'!$G$2:$G$112,4),'Cleaned Data'!$G$2:$G$112,0)),"")</f>
        <v>4.5999999999999996</v>
      </c>
    </row>
    <row r="61" spans="1:4" ht="46.25" customHeight="1" x14ac:dyDescent="0.35">
      <c r="A61" s="37">
        <v>5</v>
      </c>
      <c r="B61" s="34" t="str">
        <f>IFERROR(INDEX('Cleaned Data'!$A$2:$A$112,MATCH(LARGE('Cleaned Data'!$G$2:$G$112,5),'Cleaned Data'!$G$2:$G$112,0)),"N/A")</f>
        <v>100 Pcs Crochet Hook Tool Set Knitting Hook Set With Box</v>
      </c>
      <c r="C61" s="35">
        <f>IFERROR(LARGE('Cleaned Data'!$G$2:$G$112,5),"")</f>
        <v>39</v>
      </c>
      <c r="D61" s="38">
        <f>IFERROR(INDEX('Cleaned Data'!$H$2:$H$112,MATCH(LARGE('Cleaned Data'!$G$2:$G$112,5),'Cleaned Data'!$G$2:$G$112,0)),"")</f>
        <v>4.7</v>
      </c>
    </row>
    <row r="62" spans="1:4" ht="57.5" customHeight="1" x14ac:dyDescent="0.35">
      <c r="A62" s="32">
        <v>6</v>
      </c>
      <c r="B62" s="29" t="str">
        <f>IFERROR(INDEX('Cleaned Data'!$A$2:$A$112,MATCH(LARGE('Cleaned Data'!$G$2:$G$112,6),'Cleaned Data'!$G$2:$G$112,0)),"N/A")</f>
        <v>Punch-free Great Load Bearing Bathroom Storage Rack Wall Shelf-White</v>
      </c>
      <c r="C62" s="30">
        <f>IFERROR(LARGE('Cleaned Data'!$G$2:$G$112,6),"")</f>
        <v>36</v>
      </c>
      <c r="D62" s="33">
        <f>IFERROR(INDEX('Cleaned Data'!$H$2:$H$112,MATCH(LARGE('Cleaned Data'!$G$2:$G$112,6),'Cleaned Data'!$G$2:$G$112,0)),"")</f>
        <v>4.3</v>
      </c>
    </row>
    <row r="63" spans="1:4" ht="57.5" customHeight="1" x14ac:dyDescent="0.35">
      <c r="A63" s="37">
        <v>7</v>
      </c>
      <c r="B63" s="34" t="str">
        <f>IFERROR(INDEX('Cleaned Data'!$A$2:$A$112,MATCH(LARGE('Cleaned Data'!$G$2:$G$112,7),'Cleaned Data'!$G$2:$G$112,0)),"N/A")</f>
        <v>53 Pieces/Set Yarn Knitting Crochet Hooks With Bag - Pansies</v>
      </c>
      <c r="C63" s="35">
        <f>IFERROR(LARGE('Cleaned Data'!$G$2:$G$112,7),"")</f>
        <v>32</v>
      </c>
      <c r="D63" s="38">
        <f>IFERROR(INDEX('Cleaned Data'!$H$2:$H$112,MATCH(LARGE('Cleaned Data'!$G$2:$G$112,7),'Cleaned Data'!$G$2:$G$112,0)),"")</f>
        <v>4.5</v>
      </c>
    </row>
    <row r="64" spans="1:4" ht="46.25" customHeight="1" x14ac:dyDescent="0.35">
      <c r="A64" s="32">
        <v>8</v>
      </c>
      <c r="B64" s="29" t="str">
        <f>IFERROR(INDEX('Cleaned Data'!$A$2:$A$112,MATCH(LARGE('Cleaned Data'!$G$2:$G$112,8),'Cleaned Data'!$G$2:$G$112,0)),"N/A")</f>
        <v>Portable Mini Cordless Car Vacuum Cleaner - Blue</v>
      </c>
      <c r="C64" s="30">
        <f>IFERROR(LARGE('Cleaned Data'!$G$2:$G$112,8),"")</f>
        <v>24</v>
      </c>
      <c r="D64" s="33">
        <f>IFERROR(INDEX('Cleaned Data'!$H$2:$H$112,MATCH(LARGE('Cleaned Data'!$G$2:$G$112,8),'Cleaned Data'!$G$2:$G$112,0)),"")</f>
        <v>4.5999999999999996</v>
      </c>
    </row>
    <row r="65" spans="1:4" ht="46.25" customHeight="1" x14ac:dyDescent="0.35">
      <c r="A65" s="37">
        <v>9</v>
      </c>
      <c r="B65" s="34" t="str">
        <f>IFERROR(INDEX('Cleaned Data'!$A$2:$A$112,MATCH(LARGE('Cleaned Data'!$G$2:$G$112,9),'Cleaned Data'!$G$2:$G$112,0)),"N/A")</f>
        <v>53Pcs/Set Yarn Knitting Crochet Hooks With Bag - Fortune Cat</v>
      </c>
      <c r="C65" s="35">
        <f>IFERROR(LARGE('Cleaned Data'!$G$2:$G$112,9),"")</f>
        <v>20</v>
      </c>
      <c r="D65" s="38">
        <f>IFERROR(INDEX('Cleaned Data'!$H$2:$H$112,MATCH(LARGE('Cleaned Data'!$G$2:$G$112,9),'Cleaned Data'!$G$2:$G$112,0)),"")</f>
        <v>4.7</v>
      </c>
    </row>
    <row r="66" spans="1:4" ht="46.25" customHeight="1" x14ac:dyDescent="0.35">
      <c r="A66" s="32">
        <v>10</v>
      </c>
      <c r="B66" s="29" t="str">
        <f>IFERROR(INDEX('Cleaned Data'!$A$2:$A$112,MATCH(LARGE('Cleaned Data'!$G$2:$G$112,10),'Cleaned Data'!$G$2:$G$112,0)),"N/A")</f>
        <v>53Pcs/Set Yarn Knitting Crochet Hooks With Bag - Fortune Cat</v>
      </c>
      <c r="C66" s="30">
        <f>IFERROR(LARGE('Cleaned Data'!$G$2:$G$112,10),"")</f>
        <v>20</v>
      </c>
      <c r="D66" s="33">
        <f>IFERROR(INDEX('Cleaned Data'!$H$2:$H$112,MATCH(LARGE('Cleaned Data'!$G$2:$G$112,10),'Cleaned Data'!$G$2:$G$112,0)),"")</f>
        <v>4.7</v>
      </c>
    </row>
  </sheetData>
  <mergeCells count="5">
    <mergeCell ref="A55:D55"/>
    <mergeCell ref="A34:C34"/>
    <mergeCell ref="A42:D42"/>
    <mergeCell ref="A26:C26"/>
    <mergeCell ref="A1:C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F00"/>
  </sheetPr>
  <dimension ref="A1:E20"/>
  <sheetViews>
    <sheetView showGridLines="0" zoomScaleNormal="100" workbookViewId="0">
      <selection activeCell="G2" sqref="G2"/>
    </sheetView>
  </sheetViews>
  <sheetFormatPr defaultColWidth="8.6328125" defaultRowHeight="14.5" x14ac:dyDescent="0.35"/>
  <cols>
    <col min="1" max="1" width="25" customWidth="1"/>
    <col min="2" max="3" width="14" customWidth="1"/>
    <col min="4" max="4" width="16" customWidth="1"/>
    <col min="5" max="5" width="14" customWidth="1"/>
  </cols>
  <sheetData>
    <row r="1" spans="1:5" ht="15" customHeight="1" x14ac:dyDescent="0.35">
      <c r="A1" s="163" t="s">
        <v>200</v>
      </c>
      <c r="B1" s="124"/>
      <c r="C1" s="124"/>
      <c r="D1" s="124"/>
      <c r="E1" s="124"/>
    </row>
    <row r="2" spans="1:5" ht="15" customHeight="1" x14ac:dyDescent="0.35">
      <c r="A2" s="28" t="s">
        <v>50</v>
      </c>
      <c r="B2" s="28" t="s">
        <v>5</v>
      </c>
      <c r="C2" s="28" t="s">
        <v>34</v>
      </c>
      <c r="D2" s="28" t="s">
        <v>9</v>
      </c>
      <c r="E2" s="28" t="s">
        <v>8</v>
      </c>
    </row>
    <row r="3" spans="1:5" ht="15" customHeight="1" x14ac:dyDescent="0.35">
      <c r="A3" s="45" t="s">
        <v>11</v>
      </c>
      <c r="B3" s="46">
        <f>COUNTIF('Cleaned Data'!$F$2:$F$112,"High Discount")</f>
        <v>62</v>
      </c>
      <c r="C3" s="46">
        <f>AVERAGEIF('Cleaned Data'!$F$2:$F$112,"High Discount",'Cleaned Data'!$B$2:$B$112)</f>
        <v>756.41935483870964</v>
      </c>
      <c r="D3" s="47">
        <f>AVERAGEIF('Cleaned Data'!$F$2:$F$112,"High Discount",'Cleaned Data'!$H$2:$H$112)</f>
        <v>3.613333333333332</v>
      </c>
      <c r="E3" s="48">
        <f>AVERAGEIF('Cleaned Data'!$F$2:$F$112,"High Discount",'Cleaned Data'!$G$2:$G$112)</f>
        <v>11.133333333333333</v>
      </c>
    </row>
    <row r="4" spans="1:5" ht="15" customHeight="1" x14ac:dyDescent="0.35">
      <c r="A4" s="49" t="s">
        <v>13</v>
      </c>
      <c r="B4" s="50">
        <f>COUNTIF('Cleaned Data'!$F$2:$F$112,"Medium Discount")</f>
        <v>31</v>
      </c>
      <c r="C4" s="50">
        <f>AVERAGEIF('Cleaned Data'!$F$2:$F$112,"Medium Discount",'Cleaned Data'!$B$2:$B$112)</f>
        <v>1579.6451612903227</v>
      </c>
      <c r="D4" s="51">
        <f>AVERAGEIF('Cleaned Data'!$F$2:$F$112,"Medium Discount",'Cleaned Data'!$H$2:$H$112)</f>
        <v>4.2681818181818176</v>
      </c>
      <c r="E4" s="52">
        <f>AVERAGEIF('Cleaned Data'!$F$2:$F$112,"Medium Discount",'Cleaned Data'!$G$2:$G$112)</f>
        <v>15.863636363636363</v>
      </c>
    </row>
    <row r="5" spans="1:5" ht="15" customHeight="1" x14ac:dyDescent="0.35">
      <c r="A5" s="45" t="s">
        <v>15</v>
      </c>
      <c r="B5" s="46">
        <f>COUNTIF('Cleaned Data'!$F$2:$F$112,"Low Discount")</f>
        <v>18</v>
      </c>
      <c r="C5" s="46">
        <f>AVERAGEIF('Cleaned Data'!$F$2:$F$112,"Low Discount",'Cleaned Data'!$B$2:$B$112)</f>
        <v>1959.1666666666667</v>
      </c>
      <c r="D5" s="47">
        <f>AVERAGEIF('Cleaned Data'!$F$2:$F$112,"Low Discount",'Cleaned Data'!$H$2:$H$112)</f>
        <v>3.7249999999999996</v>
      </c>
      <c r="E5" s="48">
        <f>AVERAGEIF('Cleaned Data'!$F$2:$F$112,"Low Discount",'Cleaned Data'!$G$2:$G$112)</f>
        <v>9.5</v>
      </c>
    </row>
    <row r="7" spans="1:5" ht="15" customHeight="1" x14ac:dyDescent="0.35">
      <c r="A7" s="161" t="s">
        <v>201</v>
      </c>
      <c r="B7" s="124"/>
      <c r="C7" s="124"/>
      <c r="D7" s="124"/>
      <c r="E7" s="124"/>
    </row>
    <row r="8" spans="1:5" ht="15" customHeight="1" x14ac:dyDescent="0.35">
      <c r="A8" s="28" t="s">
        <v>28</v>
      </c>
      <c r="B8" s="28" t="s">
        <v>5</v>
      </c>
      <c r="C8" s="28" t="s">
        <v>34</v>
      </c>
      <c r="D8" s="28" t="s">
        <v>19</v>
      </c>
      <c r="E8" s="28" t="s">
        <v>8</v>
      </c>
    </row>
    <row r="9" spans="1:5" ht="15" customHeight="1" x14ac:dyDescent="0.35">
      <c r="A9" s="45" t="s">
        <v>10</v>
      </c>
      <c r="B9" s="46">
        <f>COUNTIF('Cleaned Data'!$J$2:$J$112,"Excellent")</f>
        <v>22</v>
      </c>
      <c r="C9" s="46">
        <f>AVERAGEIF('Cleaned Data'!$J$2:$J$112,"Excellent",'Cleaned Data'!$B$2:$B$112)</f>
        <v>1381.090909090909</v>
      </c>
      <c r="D9" s="53">
        <f>AVERAGEIF('Cleaned Data'!$J$2:$J$112,"Excellent",'Cleaned Data'!$E$2:$E$112)</f>
        <v>0.37499008128743339</v>
      </c>
      <c r="E9" s="48">
        <f>AVERAGEIF('Cleaned Data'!$J$2:$J$112,"Excellent",'Cleaned Data'!$G$2:$G$112)</f>
        <v>14.954545454545455</v>
      </c>
    </row>
    <row r="10" spans="1:5" ht="15" customHeight="1" x14ac:dyDescent="0.35">
      <c r="A10" s="49" t="s">
        <v>12</v>
      </c>
      <c r="B10" s="50">
        <f>COUNTIF('Cleaned Data'!$J$2:$J$112,"Average")</f>
        <v>22</v>
      </c>
      <c r="C10" s="50">
        <f>AVERAGEIF('Cleaned Data'!$J$2:$J$112,"Average",'Cleaned Data'!$B$2:$B$112)</f>
        <v>1369.409090909091</v>
      </c>
      <c r="D10" s="54">
        <f>AVERAGEIF('Cleaned Data'!$J$2:$J$112,"Average",'Cleaned Data'!$E$2:$E$112)</f>
        <v>0.38033103770385124</v>
      </c>
      <c r="E10" s="52">
        <f>AVERAGEIF('Cleaned Data'!$J$2:$J$112,"Average",'Cleaned Data'!$G$2:$G$112)</f>
        <v>10.136363636363637</v>
      </c>
    </row>
    <row r="11" spans="1:5" ht="15" customHeight="1" x14ac:dyDescent="0.35">
      <c r="A11" s="45" t="s">
        <v>14</v>
      </c>
      <c r="B11" s="46">
        <f>COUNTIF('Cleaned Data'!$J$2:$J$112,"Poor")</f>
        <v>12</v>
      </c>
      <c r="C11" s="46">
        <f>AVERAGEIF('Cleaned Data'!$J$2:$J$112,"Poor",'Cleaned Data'!$B$2:$B$112)</f>
        <v>998.33333333333337</v>
      </c>
      <c r="D11" s="53">
        <f>AVERAGEIF('Cleaned Data'!$J$2:$J$112,"Poor",'Cleaned Data'!$E$2:$E$112)</f>
        <v>0.43217789384947219</v>
      </c>
      <c r="E11" s="48">
        <f>AVERAGEIF('Cleaned Data'!$J$2:$J$112,"Poor",'Cleaned Data'!$G$2:$G$112)</f>
        <v>14.083333333333334</v>
      </c>
    </row>
    <row r="12" spans="1:5" ht="15" customHeight="1" x14ac:dyDescent="0.35">
      <c r="A12" s="49" t="s">
        <v>16</v>
      </c>
      <c r="B12" s="50">
        <f>COUNTIF('Cleaned Data'!$J$2:$J$112,"N/A")</f>
        <v>55</v>
      </c>
      <c r="C12" s="50">
        <f>AVERAGEIF('Cleaned Data'!$J$2:$J$112,"N/A",'Cleaned Data'!$B$2:$B$112)</f>
        <v>1066.2</v>
      </c>
      <c r="D12" s="54">
        <f>AVERAGEIF('Cleaned Data'!$J$2:$J$112,"N/A",'Cleaned Data'!$E$2:$E$112)</f>
        <v>0.345150642993234</v>
      </c>
      <c r="E12" s="52" t="str">
        <f>IFERROR(AVERAGEIF('Cleaned Data'!$J$2:$J$112,"N/A",'Cleaned Data'!$G$2:$G$112),"")</f>
        <v/>
      </c>
    </row>
    <row r="14" spans="1:5" ht="15" customHeight="1" x14ac:dyDescent="0.35">
      <c r="A14" s="164" t="s">
        <v>202</v>
      </c>
      <c r="B14" s="124"/>
      <c r="C14" s="124"/>
      <c r="D14" s="124"/>
    </row>
    <row r="15" spans="1:5" ht="15" customHeight="1" x14ac:dyDescent="0.35">
      <c r="A15" s="28" t="s">
        <v>20</v>
      </c>
      <c r="B15" s="28" t="s">
        <v>5</v>
      </c>
      <c r="C15" s="28" t="s">
        <v>8</v>
      </c>
      <c r="D15" s="28" t="s">
        <v>9</v>
      </c>
    </row>
    <row r="16" spans="1:5" ht="15" customHeight="1" x14ac:dyDescent="0.35">
      <c r="A16" s="49" t="s">
        <v>21</v>
      </c>
      <c r="B16" s="50">
        <f>COUNTIFS('Cleaned Data'!$E$2:$E$112,"&gt;=0",'Cleaned Data'!$E$2:$E$112,"&lt;0.2")</f>
        <v>18</v>
      </c>
      <c r="C16" s="52">
        <f>AVERAGEIFS('Cleaned Data'!$G$2:$G$112,'Cleaned Data'!$E$2:$E$112,"&gt;=0",'Cleaned Data'!$E$2:$E$112,"&lt;0.2")</f>
        <v>9.5</v>
      </c>
      <c r="D16" s="51">
        <f>AVERAGEIFS('Cleaned Data'!$H$2:$H$112,'Cleaned Data'!$E$2:$E$112,"&gt;=0",'Cleaned Data'!$E$2:$E$112,"&lt;0.2")</f>
        <v>3.7249999999999996</v>
      </c>
    </row>
    <row r="17" spans="1:4" ht="15" customHeight="1" x14ac:dyDescent="0.35">
      <c r="A17" s="45" t="s">
        <v>22</v>
      </c>
      <c r="B17" s="46">
        <f>COUNTIFS('Cleaned Data'!$E$2:$E$112,"&gt;=0.2",'Cleaned Data'!$E$2:$E$112,"&lt;0.3")</f>
        <v>14</v>
      </c>
      <c r="C17" s="48">
        <f>AVERAGEIFS('Cleaned Data'!$G$2:$G$112,'Cleaned Data'!$E$2:$E$112,"&gt;=0.2",'Cleaned Data'!$E$2:$E$112,"&lt;0.3")</f>
        <v>18.545454545454547</v>
      </c>
      <c r="D17" s="47">
        <f>AVERAGEIFS('Cleaned Data'!$H$2:$H$112,'Cleaned Data'!$E$2:$E$112,"&gt;=0.2",'Cleaned Data'!$E$2:$E$112,"&lt;0.3")</f>
        <v>4.245454545454546</v>
      </c>
    </row>
    <row r="18" spans="1:4" ht="15" customHeight="1" x14ac:dyDescent="0.35">
      <c r="A18" s="49" t="s">
        <v>23</v>
      </c>
      <c r="B18" s="50">
        <f>COUNTIFS('Cleaned Data'!$E$2:$E$112,"&gt;=0.3",'Cleaned Data'!$E$2:$E$112,"&lt;0.4")</f>
        <v>17</v>
      </c>
      <c r="C18" s="52">
        <f>AVERAGEIFS('Cleaned Data'!$G$2:$G$112,'Cleaned Data'!$E$2:$E$112,"&gt;=0.3",'Cleaned Data'!$E$2:$E$112,"&lt;0.4")</f>
        <v>13.181818181818182</v>
      </c>
      <c r="D18" s="51">
        <f>AVERAGEIFS('Cleaned Data'!$H$2:$H$112,'Cleaned Data'!$E$2:$E$112,"&gt;=0.3",'Cleaned Data'!$E$2:$E$112,"&lt;0.4")</f>
        <v>4.2909090909090901</v>
      </c>
    </row>
    <row r="19" spans="1:4" ht="15" customHeight="1" x14ac:dyDescent="0.35">
      <c r="A19" s="45" t="s">
        <v>24</v>
      </c>
      <c r="B19" s="46">
        <f>COUNTIFS('Cleaned Data'!$E$2:$E$112,"&gt;=0.4",'Cleaned Data'!$E$2:$E$112,"&lt;0.5")</f>
        <v>43</v>
      </c>
      <c r="C19" s="48">
        <f>AVERAGEIFS('Cleaned Data'!$G$2:$G$112,'Cleaned Data'!$E$2:$E$112,"&gt;=0.4",'Cleaned Data'!$E$2:$E$112,"&lt;0.5")</f>
        <v>13.157894736842104</v>
      </c>
      <c r="D19" s="47">
        <f>AVERAGEIFS('Cleaned Data'!$H$2:$H$112,'Cleaned Data'!$E$2:$E$112,"&gt;=0.4",'Cleaned Data'!$E$2:$E$112,"&lt;0.5")</f>
        <v>3.6631578947368411</v>
      </c>
    </row>
    <row r="20" spans="1:4" ht="15" customHeight="1" x14ac:dyDescent="0.35">
      <c r="A20" s="49" t="s">
        <v>25</v>
      </c>
      <c r="B20" s="50">
        <f>COUNTIFS('Cleaned Data'!$E$2:$E$112,"&gt;=0.5",'Cleaned Data'!$E$2:$E$112,"&lt;1.0")</f>
        <v>19</v>
      </c>
      <c r="C20" s="52">
        <f>AVERAGEIFS('Cleaned Data'!$G$2:$G$112,'Cleaned Data'!$E$2:$E$112,"&gt;=0.5",'Cleaned Data'!$E$2:$E$112,"&lt;1.0")</f>
        <v>7.6363636363636367</v>
      </c>
      <c r="D20" s="51">
        <f>AVERAGEIFS('Cleaned Data'!$H$2:$H$112,'Cleaned Data'!$E$2:$E$112,"&gt;=0.5",'Cleaned Data'!$E$2:$E$112,"&lt;1.0")</f>
        <v>3.5272727272727278</v>
      </c>
    </row>
  </sheetData>
  <mergeCells count="3">
    <mergeCell ref="A1:E1"/>
    <mergeCell ref="A7:E7"/>
    <mergeCell ref="A14:D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AF62-D1F7-42CB-8AF3-A9DD467B067A}">
  <dimension ref="A3:D7"/>
  <sheetViews>
    <sheetView workbookViewId="0">
      <selection activeCell="B5" sqref="B5"/>
    </sheetView>
  </sheetViews>
  <sheetFormatPr defaultRowHeight="14.5" x14ac:dyDescent="0.35"/>
  <cols>
    <col min="1" max="1" width="15.36328125" bestFit="1" customWidth="1"/>
    <col min="2" max="2" width="16.453125" bestFit="1" customWidth="1"/>
    <col min="3" max="3" width="16.54296875" bestFit="1" customWidth="1"/>
    <col min="4" max="4" width="18.08984375" bestFit="1" customWidth="1"/>
  </cols>
  <sheetData>
    <row r="3" spans="1:4" x14ac:dyDescent="0.35">
      <c r="A3" s="99" t="s">
        <v>203</v>
      </c>
      <c r="B3" t="s">
        <v>219</v>
      </c>
      <c r="C3" t="s">
        <v>220</v>
      </c>
      <c r="D3" t="s">
        <v>221</v>
      </c>
    </row>
    <row r="4" spans="1:4" x14ac:dyDescent="0.35">
      <c r="A4" s="100" t="s">
        <v>11</v>
      </c>
      <c r="B4" s="101">
        <v>62</v>
      </c>
      <c r="C4" s="115">
        <v>3.613333333333332</v>
      </c>
      <c r="D4" s="116">
        <v>11.133333333333333</v>
      </c>
    </row>
    <row r="5" spans="1:4" x14ac:dyDescent="0.35">
      <c r="A5" s="100" t="s">
        <v>15</v>
      </c>
      <c r="B5" s="101">
        <v>18</v>
      </c>
      <c r="C5" s="115">
        <v>3.7249999999999996</v>
      </c>
      <c r="D5" s="116">
        <v>9.5</v>
      </c>
    </row>
    <row r="6" spans="1:4" x14ac:dyDescent="0.35">
      <c r="A6" s="100" t="s">
        <v>13</v>
      </c>
      <c r="B6" s="101">
        <v>31</v>
      </c>
      <c r="C6" s="115">
        <v>4.2681818181818176</v>
      </c>
      <c r="D6" s="116">
        <v>15.863636363636363</v>
      </c>
    </row>
    <row r="7" spans="1:4" x14ac:dyDescent="0.35">
      <c r="A7" s="100" t="s">
        <v>29</v>
      </c>
      <c r="B7" s="101">
        <v>111</v>
      </c>
      <c r="C7" s="115">
        <v>11.606515151515149</v>
      </c>
      <c r="D7" s="116">
        <v>36.4969696969697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71651-FA1E-4433-9146-484264A4F3E4}">
  <dimension ref="A3:D8"/>
  <sheetViews>
    <sheetView workbookViewId="0">
      <selection activeCell="C5" sqref="C5"/>
    </sheetView>
  </sheetViews>
  <sheetFormatPr defaultRowHeight="14.5" x14ac:dyDescent="0.35"/>
  <cols>
    <col min="1" max="1" width="12" bestFit="1" customWidth="1"/>
    <col min="2" max="2" width="15.453125" bestFit="1" customWidth="1"/>
    <col min="3" max="3" width="15.36328125" bestFit="1" customWidth="1"/>
    <col min="4" max="4" width="9.90625" bestFit="1" customWidth="1"/>
  </cols>
  <sheetData>
    <row r="3" spans="1:4" x14ac:dyDescent="0.35">
      <c r="A3" s="99" t="s">
        <v>224</v>
      </c>
      <c r="B3" t="s">
        <v>223</v>
      </c>
      <c r="C3" t="s">
        <v>222</v>
      </c>
      <c r="D3" t="s">
        <v>7</v>
      </c>
    </row>
    <row r="4" spans="1:4" x14ac:dyDescent="0.35">
      <c r="A4" s="100" t="s">
        <v>12</v>
      </c>
      <c r="B4" s="101">
        <v>22</v>
      </c>
      <c r="C4" s="101">
        <v>1369.409090909091</v>
      </c>
      <c r="D4" s="117">
        <v>0.38033103770385124</v>
      </c>
    </row>
    <row r="5" spans="1:4" x14ac:dyDescent="0.35">
      <c r="A5" s="100" t="s">
        <v>10</v>
      </c>
      <c r="B5" s="101">
        <v>22</v>
      </c>
      <c r="C5" s="101">
        <v>1381.090909090909</v>
      </c>
      <c r="D5" s="117">
        <v>0.37499008128743339</v>
      </c>
    </row>
    <row r="6" spans="1:4" x14ac:dyDescent="0.35">
      <c r="A6" s="100" t="s">
        <v>16</v>
      </c>
      <c r="B6" s="101">
        <v>55</v>
      </c>
      <c r="C6" s="101">
        <v>1066.2</v>
      </c>
      <c r="D6" s="117">
        <v>0.345150642993234</v>
      </c>
    </row>
    <row r="7" spans="1:4" x14ac:dyDescent="0.35">
      <c r="A7" s="100" t="s">
        <v>14</v>
      </c>
      <c r="B7" s="101">
        <v>12</v>
      </c>
      <c r="C7" s="101">
        <v>998.33333333333337</v>
      </c>
      <c r="D7" s="117">
        <v>0.43217789384947219</v>
      </c>
    </row>
    <row r="8" spans="1:4" x14ac:dyDescent="0.35">
      <c r="A8" s="100" t="s">
        <v>29</v>
      </c>
      <c r="B8" s="101">
        <v>111</v>
      </c>
      <c r="C8" s="101">
        <v>4815.0333333333328</v>
      </c>
      <c r="D8" s="117">
        <v>1.5326496558339908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9680A-5886-40F7-A6DF-A43892627208}">
  <dimension ref="A2:D9"/>
  <sheetViews>
    <sheetView workbookViewId="0">
      <selection activeCell="D16" sqref="D16"/>
    </sheetView>
  </sheetViews>
  <sheetFormatPr defaultRowHeight="14.5" x14ac:dyDescent="0.35"/>
  <cols>
    <col min="1" max="1" width="12.453125" bestFit="1" customWidth="1"/>
    <col min="2" max="2" width="15.81640625" bestFit="1" customWidth="1"/>
    <col min="3" max="3" width="17.36328125" bestFit="1" customWidth="1"/>
    <col min="4" max="4" width="15.6328125" bestFit="1" customWidth="1"/>
  </cols>
  <sheetData>
    <row r="2" spans="1:4" x14ac:dyDescent="0.35">
      <c r="A2" s="164" t="s">
        <v>202</v>
      </c>
      <c r="B2" s="124"/>
      <c r="C2" s="124"/>
      <c r="D2" s="124"/>
    </row>
    <row r="3" spans="1:4" x14ac:dyDescent="0.35">
      <c r="A3" s="99" t="s">
        <v>203</v>
      </c>
      <c r="B3" t="s">
        <v>219</v>
      </c>
      <c r="C3" t="s">
        <v>221</v>
      </c>
      <c r="D3" t="s">
        <v>220</v>
      </c>
    </row>
    <row r="4" spans="1:4" x14ac:dyDescent="0.35">
      <c r="A4" s="100" t="s">
        <v>21</v>
      </c>
      <c r="B4" s="101">
        <v>18</v>
      </c>
      <c r="C4" s="116">
        <v>9.5</v>
      </c>
      <c r="D4" s="115">
        <v>3.7249999999999996</v>
      </c>
    </row>
    <row r="5" spans="1:4" x14ac:dyDescent="0.35">
      <c r="A5" s="100" t="s">
        <v>25</v>
      </c>
      <c r="B5" s="101">
        <v>19</v>
      </c>
      <c r="C5" s="116">
        <v>7.6363636363636367</v>
      </c>
      <c r="D5" s="115">
        <v>3.5272727272727278</v>
      </c>
    </row>
    <row r="6" spans="1:4" x14ac:dyDescent="0.35">
      <c r="A6" s="100" t="s">
        <v>22</v>
      </c>
      <c r="B6" s="101">
        <v>14</v>
      </c>
      <c r="C6" s="116">
        <v>18.545454545454547</v>
      </c>
      <c r="D6" s="115">
        <v>4.245454545454546</v>
      </c>
    </row>
    <row r="7" spans="1:4" x14ac:dyDescent="0.35">
      <c r="A7" s="100" t="s">
        <v>23</v>
      </c>
      <c r="B7" s="101">
        <v>17</v>
      </c>
      <c r="C7" s="116">
        <v>13.181818181818182</v>
      </c>
      <c r="D7" s="115">
        <v>4.2909090909090901</v>
      </c>
    </row>
    <row r="8" spans="1:4" x14ac:dyDescent="0.35">
      <c r="A8" s="100" t="s">
        <v>24</v>
      </c>
      <c r="B8" s="101">
        <v>43</v>
      </c>
      <c r="C8" s="116">
        <v>13.157894736842104</v>
      </c>
      <c r="D8" s="115">
        <v>3.6631578947368411</v>
      </c>
    </row>
    <row r="9" spans="1:4" x14ac:dyDescent="0.35">
      <c r="A9" s="100" t="s">
        <v>29</v>
      </c>
      <c r="B9" s="101">
        <v>111</v>
      </c>
      <c r="C9" s="116">
        <v>62.02153110047847</v>
      </c>
      <c r="D9" s="115">
        <v>19.451794258373205</v>
      </c>
    </row>
  </sheetData>
  <mergeCells count="1">
    <mergeCell ref="A2: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Original Dataset</vt:lpstr>
      <vt:lpstr>Project Writeup</vt:lpstr>
      <vt:lpstr>PivotSource</vt:lpstr>
      <vt:lpstr>Cleaned Data</vt:lpstr>
      <vt:lpstr>Dashboard</vt:lpstr>
      <vt:lpstr>PivotTables</vt:lpstr>
      <vt:lpstr>Analysis</vt:lpstr>
      <vt:lpstr>Pivot Data</vt:lpstr>
      <vt:lpstr>Discount Pivot</vt:lpstr>
      <vt:lpstr>Rating Pivot</vt:lpstr>
      <vt:lpstr>Range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rakama</cp:lastModifiedBy>
  <cp:revision>1</cp:revision>
  <dcterms:created xsi:type="dcterms:W3CDTF">2026-06-12T06:07:23Z</dcterms:created>
  <dcterms:modified xsi:type="dcterms:W3CDTF">2026-06-13T10:15:28Z</dcterms:modified>
  <dc:language>en-US</dc:language>
</cp:coreProperties>
</file>